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務形態一覧表" sheetId="1" state="visible" r:id="rId1"/>
    <sheet xmlns:r="http://schemas.openxmlformats.org/officeDocument/2006/relationships" name="日別の基準判定" sheetId="2" state="visible" r:id="rId2"/>
    <sheet xmlns:r="http://schemas.openxmlformats.org/officeDocument/2006/relationships" name="算定根拠" sheetId="3" state="visible" r:id="rId3"/>
  </sheets>
  <definedNames>
    <definedName name="_xlnm.Print_Titles" localSheetId="0">'勤務形態一覧表'!$8:$9</definedName>
    <definedName name="_xlnm.Print_Titles" localSheetId="1">'日別の基準判定'!$3:$3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Meiryo UI"/>
      <b val="1"/>
      <sz val="13"/>
    </font>
    <font>
      <name val="Meiryo UI"/>
      <b val="1"/>
      <sz val="9"/>
    </font>
    <font>
      <name val="Meiryo UI"/>
      <sz val="9"/>
    </font>
    <font>
      <name val="Meiryo UI"/>
      <b val="1"/>
      <sz val="8"/>
    </font>
    <font>
      <name val="Meiryo UI"/>
      <sz val="8"/>
    </font>
    <font>
      <name val="Meiryo UI"/>
      <b val="1"/>
      <sz val="11"/>
    </font>
    <font>
      <name val="Meiryo UI"/>
      <b val="1"/>
      <sz val="12"/>
    </font>
    <font>
      <name val="Meiryo UI"/>
      <b val="1"/>
      <color rgb="00C0392B"/>
      <sz val="9"/>
    </font>
    <font>
      <name val="Meiryo UI"/>
      <sz val="9.5"/>
    </font>
  </fonts>
  <fills count="8">
    <fill>
      <patternFill/>
    </fill>
    <fill>
      <patternFill patternType="gray125"/>
    </fill>
    <fill>
      <patternFill patternType="solid">
        <fgColor rgb="00F2F5F9"/>
      </patternFill>
    </fill>
    <fill>
      <patternFill patternType="solid">
        <fgColor rgb="00DEEAF6"/>
      </patternFill>
    </fill>
    <fill>
      <patternFill patternType="solid">
        <fgColor rgb="00EEF4FB"/>
      </patternFill>
    </fill>
    <fill>
      <patternFill patternType="solid">
        <fgColor rgb="00ECEFF3"/>
      </patternFill>
    </fill>
    <fill>
      <patternFill patternType="solid">
        <fgColor rgb="00FDECEA"/>
      </patternFill>
    </fill>
    <fill>
      <patternFill patternType="solid">
        <fgColor rgb="00EAF6EE"/>
      </patternFill>
    </fill>
  </fills>
  <borders count="2">
    <border>
      <left/>
      <right/>
      <top/>
      <bottom/>
      <diagonal/>
    </border>
    <border>
      <left style="thin">
        <color rgb="009AA3AD"/>
      </left>
      <right style="thin">
        <color rgb="009AA3AD"/>
      </right>
      <top style="thin">
        <color rgb="009AA3AD"/>
      </top>
      <bottom style="thin">
        <color rgb="009AA3A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41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4" customWidth="1" min="4" max="4"/>
    <col width="4.4" customWidth="1" min="5" max="5"/>
    <col width="4.4" customWidth="1" min="6" max="6"/>
    <col width="4.4" customWidth="1" min="7" max="7"/>
    <col width="4.4" customWidth="1" min="8" max="8"/>
    <col width="4.4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.4" customWidth="1" min="35" max="35"/>
    <col width="11" customWidth="1" min="36" max="36"/>
    <col width="10" customWidth="1" min="37" max="37"/>
    <col width="22" customWidth="1" min="38" max="38"/>
  </cols>
  <sheetData>
    <row r="1" ht="24" customHeight="1">
      <c r="A1" s="1" t="inlineStr">
        <is>
          <t>従業者の勤務の体制及び勤務形態一覧表（2026年8月分）</t>
        </is>
      </c>
    </row>
    <row r="3">
      <c r="A3" s="2" t="inlineStr">
        <is>
          <t>サービス種類</t>
        </is>
      </c>
      <c r="B3" s="3" t="inlineStr">
        <is>
          <t>通所介護</t>
        </is>
      </c>
      <c r="D3" s="4" t="inlineStr">
        <is>
          <t>事業所名</t>
        </is>
      </c>
      <c r="I3" s="3" t="inlineStr">
        <is>
          <t>デイサービスさくら</t>
        </is>
      </c>
    </row>
    <row r="4">
      <c r="A4" s="2" t="inlineStr">
        <is>
          <t>利用者数（平均）</t>
        </is>
      </c>
      <c r="B4" s="3" t="inlineStr">
        <is>
          <t>22 名</t>
        </is>
      </c>
      <c r="D4" s="4" t="inlineStr">
        <is>
          <t>サービス提供の単位</t>
        </is>
      </c>
      <c r="I4" s="3" t="inlineStr">
        <is>
          <t>1単位</t>
        </is>
      </c>
    </row>
    <row r="5">
      <c r="A5" s="2" t="inlineStr">
        <is>
          <t>サービス提供時間帯</t>
        </is>
      </c>
      <c r="B5" s="3" t="inlineStr">
        <is>
          <t>9:00〜16:00</t>
        </is>
      </c>
      <c r="D5" s="4" t="inlineStr">
        <is>
          <t>サービス提供時間数</t>
        </is>
      </c>
      <c r="I5" s="3" t="inlineStr">
        <is>
          <t>7.0 時間</t>
        </is>
      </c>
    </row>
    <row r="6" ht="26" customHeight="1">
      <c r="A6" s="2" t="inlineStr">
        <is>
          <t>常勤の従業者が勤務すべき時間数</t>
        </is>
      </c>
      <c r="B6" s="3" t="inlineStr">
        <is>
          <t>週 40.0 時間 ／ 暦月 160.0 時間</t>
        </is>
      </c>
      <c r="D6" s="4" t="inlineStr">
        <is>
          <t>対象期間</t>
        </is>
      </c>
      <c r="I6" s="3" t="inlineStr">
        <is>
          <t>2026-08-01 〜 2026-08-31</t>
        </is>
      </c>
    </row>
    <row r="8">
      <c r="A8" s="5" t="inlineStr">
        <is>
          <t>職種</t>
        </is>
      </c>
      <c r="B8" s="5" t="inlineStr">
        <is>
          <t>勤務形態</t>
        </is>
      </c>
      <c r="C8" s="5" t="inlineStr">
        <is>
          <t>資格・修了研修</t>
        </is>
      </c>
      <c r="D8" s="5" t="inlineStr">
        <is>
          <t>氏名</t>
        </is>
      </c>
      <c r="E8" s="6" t="n">
        <v>1</v>
      </c>
      <c r="F8" s="7" t="n">
        <v>2</v>
      </c>
      <c r="G8" s="8" t="n">
        <v>3</v>
      </c>
      <c r="H8" s="8" t="n">
        <v>4</v>
      </c>
      <c r="I8" s="8" t="n">
        <v>5</v>
      </c>
      <c r="J8" s="8" t="n">
        <v>6</v>
      </c>
      <c r="K8" s="8" t="n">
        <v>7</v>
      </c>
      <c r="L8" s="6" t="n">
        <v>8</v>
      </c>
      <c r="M8" s="7" t="n">
        <v>9</v>
      </c>
      <c r="N8" s="8" t="n">
        <v>10</v>
      </c>
      <c r="O8" s="8" t="n">
        <v>11</v>
      </c>
      <c r="P8" s="8" t="n">
        <v>12</v>
      </c>
      <c r="Q8" s="8" t="n">
        <v>13</v>
      </c>
      <c r="R8" s="8" t="n">
        <v>14</v>
      </c>
      <c r="S8" s="6" t="n">
        <v>15</v>
      </c>
      <c r="T8" s="7" t="n">
        <v>16</v>
      </c>
      <c r="U8" s="8" t="n">
        <v>17</v>
      </c>
      <c r="V8" s="8" t="n">
        <v>18</v>
      </c>
      <c r="W8" s="8" t="n">
        <v>19</v>
      </c>
      <c r="X8" s="8" t="n">
        <v>20</v>
      </c>
      <c r="Y8" s="8" t="n">
        <v>21</v>
      </c>
      <c r="Z8" s="6" t="n">
        <v>22</v>
      </c>
      <c r="AA8" s="7" t="n">
        <v>23</v>
      </c>
      <c r="AB8" s="8" t="n">
        <v>24</v>
      </c>
      <c r="AC8" s="8" t="n">
        <v>25</v>
      </c>
      <c r="AD8" s="8" t="n">
        <v>26</v>
      </c>
      <c r="AE8" s="8" t="n">
        <v>27</v>
      </c>
      <c r="AF8" s="8" t="n">
        <v>28</v>
      </c>
      <c r="AG8" s="6" t="n">
        <v>29</v>
      </c>
      <c r="AH8" s="7" t="n">
        <v>30</v>
      </c>
      <c r="AI8" s="8" t="n">
        <v>31</v>
      </c>
      <c r="AJ8" s="5" t="inlineStr">
        <is>
          <t>当月合計
(時間)</t>
        </is>
      </c>
      <c r="AK8" s="5" t="inlineStr">
        <is>
          <t>週平均
(時間)</t>
        </is>
      </c>
      <c r="AL8" s="5" t="inlineStr">
        <is>
          <t>兼務状況</t>
        </is>
      </c>
    </row>
    <row r="9">
      <c r="E9" s="9" t="inlineStr">
        <is>
          <t>土</t>
        </is>
      </c>
      <c r="F9" s="10" t="inlineStr">
        <is>
          <t>日</t>
        </is>
      </c>
      <c r="G9" s="11" t="inlineStr">
        <is>
          <t>月</t>
        </is>
      </c>
      <c r="H9" s="11" t="inlineStr">
        <is>
          <t>火</t>
        </is>
      </c>
      <c r="I9" s="11" t="inlineStr">
        <is>
          <t>水</t>
        </is>
      </c>
      <c r="J9" s="11" t="inlineStr">
        <is>
          <t>木</t>
        </is>
      </c>
      <c r="K9" s="11" t="inlineStr">
        <is>
          <t>金</t>
        </is>
      </c>
      <c r="L9" s="9" t="inlineStr">
        <is>
          <t>土</t>
        </is>
      </c>
      <c r="M9" s="10" t="inlineStr">
        <is>
          <t>日</t>
        </is>
      </c>
      <c r="N9" s="11" t="inlineStr">
        <is>
          <t>月</t>
        </is>
      </c>
      <c r="O9" s="11" t="inlineStr">
        <is>
          <t>火</t>
        </is>
      </c>
      <c r="P9" s="11" t="inlineStr">
        <is>
          <t>水</t>
        </is>
      </c>
      <c r="Q9" s="11" t="inlineStr">
        <is>
          <t>木</t>
        </is>
      </c>
      <c r="R9" s="11" t="inlineStr">
        <is>
          <t>金</t>
        </is>
      </c>
      <c r="S9" s="9" t="inlineStr">
        <is>
          <t>土</t>
        </is>
      </c>
      <c r="T9" s="10" t="inlineStr">
        <is>
          <t>日</t>
        </is>
      </c>
      <c r="U9" s="11" t="inlineStr">
        <is>
          <t>月</t>
        </is>
      </c>
      <c r="V9" s="11" t="inlineStr">
        <is>
          <t>火</t>
        </is>
      </c>
      <c r="W9" s="11" t="inlineStr">
        <is>
          <t>水</t>
        </is>
      </c>
      <c r="X9" s="11" t="inlineStr">
        <is>
          <t>木</t>
        </is>
      </c>
      <c r="Y9" s="11" t="inlineStr">
        <is>
          <t>金</t>
        </is>
      </c>
      <c r="Z9" s="9" t="inlineStr">
        <is>
          <t>土</t>
        </is>
      </c>
      <c r="AA9" s="10" t="inlineStr">
        <is>
          <t>日</t>
        </is>
      </c>
      <c r="AB9" s="11" t="inlineStr">
        <is>
          <t>月</t>
        </is>
      </c>
      <c r="AC9" s="11" t="inlineStr">
        <is>
          <t>火</t>
        </is>
      </c>
      <c r="AD9" s="11" t="inlineStr">
        <is>
          <t>水</t>
        </is>
      </c>
      <c r="AE9" s="11" t="inlineStr">
        <is>
          <t>木</t>
        </is>
      </c>
      <c r="AF9" s="11" t="inlineStr">
        <is>
          <t>金</t>
        </is>
      </c>
      <c r="AG9" s="9" t="inlineStr">
        <is>
          <t>土</t>
        </is>
      </c>
      <c r="AH9" s="10" t="inlineStr">
        <is>
          <t>日</t>
        </is>
      </c>
      <c r="AI9" s="11" t="inlineStr">
        <is>
          <t>月</t>
        </is>
      </c>
    </row>
    <row r="10">
      <c r="A10" s="3" t="inlineStr">
        <is>
          <t>管理者</t>
        </is>
      </c>
      <c r="B10" s="12" t="inlineStr">
        <is>
          <t>B 常勤・兼務</t>
        </is>
      </c>
      <c r="C10" s="13" t="inlineStr">
        <is>
          <t>介護福祉士、認知症介護実践者研修修了</t>
        </is>
      </c>
      <c r="D10" s="3" t="inlineStr">
        <is>
          <t>佐藤 一郎（50%）</t>
        </is>
      </c>
      <c r="E10" s="14" t="n">
        <v>4</v>
      </c>
      <c r="F10" s="15" t="n"/>
      <c r="G10" s="14" t="n"/>
      <c r="H10" s="14" t="n">
        <v>4</v>
      </c>
      <c r="I10" s="14" t="n"/>
      <c r="J10" s="14" t="n">
        <v>4</v>
      </c>
      <c r="K10" s="14" t="n">
        <v>4</v>
      </c>
      <c r="L10" s="14" t="n">
        <v>4</v>
      </c>
      <c r="M10" s="15" t="n"/>
      <c r="N10" s="14" t="n">
        <v>4</v>
      </c>
      <c r="O10" s="14" t="n">
        <v>4</v>
      </c>
      <c r="P10" s="14" t="n">
        <v>4</v>
      </c>
      <c r="Q10" s="14" t="n"/>
      <c r="R10" s="14" t="n"/>
      <c r="S10" s="14" t="n"/>
      <c r="T10" s="15" t="n"/>
      <c r="U10" s="14" t="n"/>
      <c r="V10" s="14" t="n">
        <v>4</v>
      </c>
      <c r="W10" s="14" t="n">
        <v>4</v>
      </c>
      <c r="X10" s="14" t="n">
        <v>4</v>
      </c>
      <c r="Y10" s="14" t="n"/>
      <c r="Z10" s="14" t="n"/>
      <c r="AA10" s="15" t="n"/>
      <c r="AB10" s="14" t="n"/>
      <c r="AC10" s="14" t="n">
        <v>4</v>
      </c>
      <c r="AD10" s="14" t="n">
        <v>4</v>
      </c>
      <c r="AE10" s="14" t="n">
        <v>4</v>
      </c>
      <c r="AF10" s="14" t="n">
        <v>4</v>
      </c>
      <c r="AG10" s="14" t="n"/>
      <c r="AH10" s="15" t="n"/>
      <c r="AI10" s="14" t="n"/>
      <c r="AJ10" s="16">
        <f>ROUND(SUM(E10:AI10),1)</f>
        <v/>
      </c>
      <c r="AK10" s="17">
        <f>ROUND(AJ10/4.4286,1)</f>
        <v/>
      </c>
      <c r="AL10" s="13" t="inlineStr">
        <is>
          <t>生活相談員 と兼務（当欄は50%分）</t>
        </is>
      </c>
    </row>
    <row r="11">
      <c r="A11" s="3" t="inlineStr">
        <is>
          <t>生活相談員</t>
        </is>
      </c>
      <c r="B11" s="12" t="inlineStr">
        <is>
          <t>B 常勤・兼務</t>
        </is>
      </c>
      <c r="C11" s="13" t="inlineStr">
        <is>
          <t>介護福祉士、認知症介護実践者研修修了</t>
        </is>
      </c>
      <c r="D11" s="3" t="inlineStr">
        <is>
          <t>佐藤 一郎（50%）</t>
        </is>
      </c>
      <c r="E11" s="14" t="n">
        <v>4</v>
      </c>
      <c r="F11" s="15" t="n"/>
      <c r="G11" s="14" t="n"/>
      <c r="H11" s="14" t="n">
        <v>4</v>
      </c>
      <c r="I11" s="14" t="n"/>
      <c r="J11" s="14" t="n">
        <v>4</v>
      </c>
      <c r="K11" s="14" t="n">
        <v>4</v>
      </c>
      <c r="L11" s="14" t="n">
        <v>4</v>
      </c>
      <c r="M11" s="15" t="n"/>
      <c r="N11" s="14" t="n">
        <v>4</v>
      </c>
      <c r="O11" s="14" t="n">
        <v>4</v>
      </c>
      <c r="P11" s="14" t="n">
        <v>4</v>
      </c>
      <c r="Q11" s="14" t="n"/>
      <c r="R11" s="14" t="n"/>
      <c r="S11" s="14" t="n"/>
      <c r="T11" s="15" t="n"/>
      <c r="U11" s="14" t="n"/>
      <c r="V11" s="14" t="n">
        <v>4</v>
      </c>
      <c r="W11" s="14" t="n">
        <v>4</v>
      </c>
      <c r="X11" s="14" t="n">
        <v>4</v>
      </c>
      <c r="Y11" s="14" t="n"/>
      <c r="Z11" s="14" t="n"/>
      <c r="AA11" s="15" t="n"/>
      <c r="AB11" s="14" t="n"/>
      <c r="AC11" s="14" t="n">
        <v>4</v>
      </c>
      <c r="AD11" s="14" t="n">
        <v>4</v>
      </c>
      <c r="AE11" s="14" t="n">
        <v>4</v>
      </c>
      <c r="AF11" s="14" t="n">
        <v>4</v>
      </c>
      <c r="AG11" s="14" t="n"/>
      <c r="AH11" s="15" t="n"/>
      <c r="AI11" s="14" t="n"/>
      <c r="AJ11" s="16">
        <f>ROUND(SUM(E11:AI11),1)</f>
        <v/>
      </c>
      <c r="AK11" s="17">
        <f>ROUND(AJ11/4.4286,1)</f>
        <v/>
      </c>
      <c r="AL11" s="13" t="inlineStr">
        <is>
          <t>管理者 と兼務（当欄は50%分）</t>
        </is>
      </c>
    </row>
    <row r="12">
      <c r="A12" s="3" t="inlineStr">
        <is>
          <t>生活相談員</t>
        </is>
      </c>
      <c r="B12" s="12" t="inlineStr">
        <is>
          <t>A 常勤・専従</t>
        </is>
      </c>
      <c r="C12" s="13" t="inlineStr">
        <is>
          <t>社会福祉士</t>
        </is>
      </c>
      <c r="D12" s="3" t="inlineStr">
        <is>
          <t>鈴木 花子</t>
        </is>
      </c>
      <c r="E12" s="14" t="n">
        <v>4</v>
      </c>
      <c r="F12" s="15" t="n"/>
      <c r="G12" s="14" t="n">
        <v>8</v>
      </c>
      <c r="H12" s="14" t="n"/>
      <c r="I12" s="14" t="n">
        <v>8</v>
      </c>
      <c r="J12" s="14" t="n">
        <v>4</v>
      </c>
      <c r="K12" s="14" t="n">
        <v>4</v>
      </c>
      <c r="L12" s="14" t="n">
        <v>4</v>
      </c>
      <c r="M12" s="15" t="n"/>
      <c r="N12" s="14" t="n"/>
      <c r="O12" s="14" t="n">
        <v>4</v>
      </c>
      <c r="P12" s="14" t="n">
        <v>4</v>
      </c>
      <c r="Q12" s="14" t="n">
        <v>8</v>
      </c>
      <c r="R12" s="14" t="n">
        <v>8</v>
      </c>
      <c r="S12" s="14" t="n">
        <v>8</v>
      </c>
      <c r="T12" s="15" t="n"/>
      <c r="U12" s="14" t="n">
        <v>8</v>
      </c>
      <c r="V12" s="14" t="n">
        <v>4</v>
      </c>
      <c r="W12" s="14" t="n">
        <v>4</v>
      </c>
      <c r="X12" s="14" t="n"/>
      <c r="Y12" s="14" t="n">
        <v>8</v>
      </c>
      <c r="Z12" s="14" t="n">
        <v>8</v>
      </c>
      <c r="AA12" s="15" t="n"/>
      <c r="AB12" s="14" t="n">
        <v>8</v>
      </c>
      <c r="AC12" s="14" t="n">
        <v>4</v>
      </c>
      <c r="AD12" s="14" t="n"/>
      <c r="AE12" s="14" t="n">
        <v>4</v>
      </c>
      <c r="AF12" s="14" t="n">
        <v>4</v>
      </c>
      <c r="AG12" s="14" t="n">
        <v>8</v>
      </c>
      <c r="AH12" s="15" t="n"/>
      <c r="AI12" s="14" t="n">
        <v>8</v>
      </c>
      <c r="AJ12" s="16">
        <f>ROUND(SUM(E12:AI12),1)</f>
        <v/>
      </c>
      <c r="AK12" s="17">
        <f>ROUND(AJ12/4.4286,1)</f>
        <v/>
      </c>
      <c r="AL12" s="13" t="inlineStr">
        <is>
          <t>—</t>
        </is>
      </c>
    </row>
    <row r="13">
      <c r="A13" s="3" t="inlineStr">
        <is>
          <t>看護職員</t>
        </is>
      </c>
      <c r="B13" s="12" t="inlineStr">
        <is>
          <t>A 常勤・専従</t>
        </is>
      </c>
      <c r="C13" s="13" t="inlineStr">
        <is>
          <t>看護師</t>
        </is>
      </c>
      <c r="D13" s="3" t="inlineStr">
        <is>
          <t>高橋 美咲</t>
        </is>
      </c>
      <c r="E13" s="14" t="n">
        <v>8</v>
      </c>
      <c r="F13" s="15" t="n"/>
      <c r="G13" s="14" t="n">
        <v>8</v>
      </c>
      <c r="H13" s="14" t="n">
        <v>8</v>
      </c>
      <c r="I13" s="14" t="n"/>
      <c r="J13" s="14" t="n">
        <v>4</v>
      </c>
      <c r="K13" s="14" t="n">
        <v>8</v>
      </c>
      <c r="L13" s="14" t="n"/>
      <c r="M13" s="15" t="n"/>
      <c r="N13" s="14" t="n">
        <v>4</v>
      </c>
      <c r="O13" s="14" t="n">
        <v>8</v>
      </c>
      <c r="P13" s="14" t="n">
        <v>4</v>
      </c>
      <c r="Q13" s="14" t="n"/>
      <c r="R13" s="14" t="n">
        <v>8</v>
      </c>
      <c r="S13" s="14" t="n">
        <v>8</v>
      </c>
      <c r="T13" s="15" t="n"/>
      <c r="U13" s="14" t="n"/>
      <c r="V13" s="14" t="n">
        <v>4</v>
      </c>
      <c r="W13" s="14" t="n">
        <v>8</v>
      </c>
      <c r="X13" s="14" t="n"/>
      <c r="Y13" s="14" t="n">
        <v>8</v>
      </c>
      <c r="Z13" s="14" t="n">
        <v>4</v>
      </c>
      <c r="AA13" s="15" t="n"/>
      <c r="AB13" s="14" t="n">
        <v>8</v>
      </c>
      <c r="AC13" s="14" t="n">
        <v>8</v>
      </c>
      <c r="AD13" s="14" t="n">
        <v>4</v>
      </c>
      <c r="AE13" s="14" t="n"/>
      <c r="AF13" s="14" t="n"/>
      <c r="AG13" s="14" t="n"/>
      <c r="AH13" s="15" t="n"/>
      <c r="AI13" s="14" t="n"/>
      <c r="AJ13" s="16">
        <f>ROUND(SUM(E13:AI13),1)</f>
        <v/>
      </c>
      <c r="AK13" s="17">
        <f>ROUND(AJ13/4.4286,1)</f>
        <v/>
      </c>
      <c r="AL13" s="13" t="inlineStr">
        <is>
          <t>—</t>
        </is>
      </c>
    </row>
    <row r="14">
      <c r="A14" s="3" t="inlineStr">
        <is>
          <t>看護職員</t>
        </is>
      </c>
      <c r="B14" s="12" t="inlineStr">
        <is>
          <t>C 常勤以外・専従</t>
        </is>
      </c>
      <c r="C14" s="13" t="inlineStr">
        <is>
          <t>准看護師</t>
        </is>
      </c>
      <c r="D14" s="3" t="inlineStr">
        <is>
          <t>田中 良子</t>
        </is>
      </c>
      <c r="E14" s="14" t="n">
        <v>8</v>
      </c>
      <c r="F14" s="15" t="n"/>
      <c r="G14" s="14" t="n"/>
      <c r="H14" s="14" t="n"/>
      <c r="I14" s="14" t="n">
        <v>8</v>
      </c>
      <c r="J14" s="14" t="n">
        <v>8</v>
      </c>
      <c r="K14" s="14" t="n"/>
      <c r="L14" s="14" t="n">
        <v>8</v>
      </c>
      <c r="M14" s="15" t="n"/>
      <c r="N14" s="14" t="n">
        <v>4</v>
      </c>
      <c r="O14" s="14" t="n"/>
      <c r="P14" s="14" t="n">
        <v>4</v>
      </c>
      <c r="Q14" s="14" t="n">
        <v>8</v>
      </c>
      <c r="R14" s="14" t="n"/>
      <c r="S14" s="14" t="n"/>
      <c r="T14" s="15" t="n"/>
      <c r="U14" s="14" t="n">
        <v>8</v>
      </c>
      <c r="V14" s="14" t="n">
        <v>8</v>
      </c>
      <c r="W14" s="14" t="n"/>
      <c r="X14" s="14" t="n">
        <v>8</v>
      </c>
      <c r="Y14" s="14" t="n"/>
      <c r="Z14" s="14" t="n">
        <v>4</v>
      </c>
      <c r="AA14" s="15" t="n"/>
      <c r="AB14" s="14" t="n"/>
      <c r="AC14" s="14" t="n"/>
      <c r="AD14" s="14" t="n">
        <v>4</v>
      </c>
      <c r="AE14" s="14" t="n">
        <v>8</v>
      </c>
      <c r="AF14" s="14" t="n">
        <v>8</v>
      </c>
      <c r="AG14" s="14" t="n">
        <v>8</v>
      </c>
      <c r="AH14" s="15" t="n"/>
      <c r="AI14" s="14" t="n">
        <v>8</v>
      </c>
      <c r="AJ14" s="16">
        <f>ROUND(SUM(E14:AI14),1)</f>
        <v/>
      </c>
      <c r="AK14" s="17">
        <f>ROUND(AJ14/4.4286,1)</f>
        <v/>
      </c>
      <c r="AL14" s="13" t="inlineStr">
        <is>
          <t>—</t>
        </is>
      </c>
    </row>
    <row r="15">
      <c r="A15" s="3" t="inlineStr">
        <is>
          <t>介護職員</t>
        </is>
      </c>
      <c r="B15" s="12" t="inlineStr">
        <is>
          <t>B 常勤・兼務</t>
        </is>
      </c>
      <c r="C15" s="13" t="inlineStr">
        <is>
          <t>理学療法士</t>
        </is>
      </c>
      <c r="D15" s="3" t="inlineStr">
        <is>
          <t>伊藤 健（30%）</t>
        </is>
      </c>
      <c r="E15" s="14" t="n">
        <v>2.4</v>
      </c>
      <c r="F15" s="15" t="n"/>
      <c r="G15" s="14" t="n">
        <v>2.4</v>
      </c>
      <c r="H15" s="14" t="n">
        <v>2.4</v>
      </c>
      <c r="I15" s="14" t="n"/>
      <c r="J15" s="14" t="n">
        <v>2.4</v>
      </c>
      <c r="K15" s="14" t="n">
        <v>2.4</v>
      </c>
      <c r="L15" s="14" t="n">
        <v>2.4</v>
      </c>
      <c r="M15" s="15" t="n"/>
      <c r="N15" s="14" t="n">
        <v>2.4</v>
      </c>
      <c r="O15" s="14" t="n">
        <v>2.4</v>
      </c>
      <c r="P15" s="14" t="n"/>
      <c r="Q15" s="14" t="n">
        <v>2.4</v>
      </c>
      <c r="R15" s="14" t="n">
        <v>2.4</v>
      </c>
      <c r="S15" s="14" t="n"/>
      <c r="T15" s="15" t="n"/>
      <c r="U15" s="14" t="n">
        <v>2.4</v>
      </c>
      <c r="V15" s="14" t="n">
        <v>2.4</v>
      </c>
      <c r="W15" s="14" t="n">
        <v>2.4</v>
      </c>
      <c r="X15" s="14" t="n">
        <v>2.4</v>
      </c>
      <c r="Y15" s="14" t="n">
        <v>2.4</v>
      </c>
      <c r="Z15" s="14" t="n"/>
      <c r="AA15" s="15" t="n"/>
      <c r="AB15" s="14" t="n">
        <v>2.4</v>
      </c>
      <c r="AC15" s="14" t="n">
        <v>2.4</v>
      </c>
      <c r="AD15" s="14" t="n">
        <v>2.4</v>
      </c>
      <c r="AE15" s="14" t="n">
        <v>2.4</v>
      </c>
      <c r="AF15" s="14" t="n">
        <v>2.4</v>
      </c>
      <c r="AG15" s="14" t="n"/>
      <c r="AH15" s="15" t="n"/>
      <c r="AI15" s="14" t="n"/>
      <c r="AJ15" s="16">
        <f>ROUND(SUM(E15:AI15),1)</f>
        <v/>
      </c>
      <c r="AK15" s="17">
        <f>ROUND(AJ15/4.4286,1)</f>
        <v/>
      </c>
      <c r="AL15" s="13" t="inlineStr">
        <is>
          <t>機能訓練指導員 と兼務（当欄は30%分）</t>
        </is>
      </c>
    </row>
    <row r="16">
      <c r="A16" s="3" t="inlineStr">
        <is>
          <t>介護職員</t>
        </is>
      </c>
      <c r="B16" s="12" t="inlineStr">
        <is>
          <t>A 常勤・専従</t>
        </is>
      </c>
      <c r="C16" s="13" t="inlineStr">
        <is>
          <t>実務者研修修了</t>
        </is>
      </c>
      <c r="D16" s="3" t="inlineStr">
        <is>
          <t>介護 01</t>
        </is>
      </c>
      <c r="E16" s="14" t="n">
        <v>4</v>
      </c>
      <c r="F16" s="15" t="n"/>
      <c r="G16" s="14" t="n">
        <v>8</v>
      </c>
      <c r="H16" s="14" t="n">
        <v>8</v>
      </c>
      <c r="I16" s="14" t="n">
        <v>8</v>
      </c>
      <c r="J16" s="14" t="n"/>
      <c r="K16" s="14" t="n">
        <v>8</v>
      </c>
      <c r="L16" s="14" t="n">
        <v>8</v>
      </c>
      <c r="M16" s="15" t="n"/>
      <c r="N16" s="14" t="n">
        <v>8</v>
      </c>
      <c r="O16" s="14" t="n"/>
      <c r="P16" s="14" t="n">
        <v>8</v>
      </c>
      <c r="Q16" s="14" t="n"/>
      <c r="R16" s="14" t="n">
        <v>4</v>
      </c>
      <c r="S16" s="14" t="n">
        <v>8</v>
      </c>
      <c r="T16" s="15" t="n"/>
      <c r="U16" s="14" t="n"/>
      <c r="V16" s="14" t="n">
        <v>8</v>
      </c>
      <c r="W16" s="14" t="n"/>
      <c r="X16" s="14" t="n"/>
      <c r="Y16" s="14" t="n">
        <v>8</v>
      </c>
      <c r="Z16" s="14" t="n"/>
      <c r="AA16" s="15" t="n"/>
      <c r="AB16" s="14" t="n"/>
      <c r="AC16" s="14" t="n"/>
      <c r="AD16" s="14" t="n">
        <v>8</v>
      </c>
      <c r="AE16" s="14" t="n"/>
      <c r="AF16" s="14" t="n">
        <v>4</v>
      </c>
      <c r="AG16" s="14" t="n">
        <v>4</v>
      </c>
      <c r="AH16" s="15" t="n"/>
      <c r="AI16" s="14" t="n">
        <v>8</v>
      </c>
      <c r="AJ16" s="16">
        <f>ROUND(SUM(E16:AI16),1)</f>
        <v/>
      </c>
      <c r="AK16" s="17">
        <f>ROUND(AJ16/4.4286,1)</f>
        <v/>
      </c>
      <c r="AL16" s="13" t="inlineStr">
        <is>
          <t>—</t>
        </is>
      </c>
    </row>
    <row r="17">
      <c r="A17" s="3" t="inlineStr">
        <is>
          <t>介護職員</t>
        </is>
      </c>
      <c r="B17" s="12" t="inlineStr">
        <is>
          <t>A 常勤・専従</t>
        </is>
      </c>
      <c r="C17" s="13" t="inlineStr">
        <is>
          <t>初任者研修修了</t>
        </is>
      </c>
      <c r="D17" s="3" t="inlineStr">
        <is>
          <t>介護 02</t>
        </is>
      </c>
      <c r="E17" s="14" t="n">
        <v>4</v>
      </c>
      <c r="F17" s="15" t="n"/>
      <c r="G17" s="14" t="n">
        <v>8</v>
      </c>
      <c r="H17" s="14" t="n"/>
      <c r="I17" s="14" t="n"/>
      <c r="J17" s="14" t="n"/>
      <c r="K17" s="14" t="n"/>
      <c r="L17" s="14" t="n"/>
      <c r="M17" s="15" t="n"/>
      <c r="N17" s="14" t="n"/>
      <c r="O17" s="14" t="n">
        <v>8</v>
      </c>
      <c r="P17" s="14" t="n">
        <v>8</v>
      </c>
      <c r="Q17" s="14" t="n">
        <v>8</v>
      </c>
      <c r="R17" s="14" t="n"/>
      <c r="S17" s="14" t="n">
        <v>8</v>
      </c>
      <c r="T17" s="15" t="n"/>
      <c r="U17" s="14" t="n">
        <v>8</v>
      </c>
      <c r="V17" s="14" t="n">
        <v>4</v>
      </c>
      <c r="W17" s="14" t="n">
        <v>4</v>
      </c>
      <c r="X17" s="14" t="n">
        <v>8</v>
      </c>
      <c r="Y17" s="14" t="n"/>
      <c r="Z17" s="14" t="n">
        <v>8</v>
      </c>
      <c r="AA17" s="15" t="n"/>
      <c r="AB17" s="14" t="n"/>
      <c r="AC17" s="14" t="n">
        <v>8</v>
      </c>
      <c r="AD17" s="14" t="n"/>
      <c r="AE17" s="14" t="n">
        <v>8</v>
      </c>
      <c r="AF17" s="14" t="n">
        <v>4</v>
      </c>
      <c r="AG17" s="14" t="n">
        <v>8</v>
      </c>
      <c r="AH17" s="15" t="n"/>
      <c r="AI17" s="14" t="n">
        <v>8</v>
      </c>
      <c r="AJ17" s="16">
        <f>ROUND(SUM(E17:AI17),1)</f>
        <v/>
      </c>
      <c r="AK17" s="17">
        <f>ROUND(AJ17/4.4286,1)</f>
        <v/>
      </c>
      <c r="AL17" s="13" t="inlineStr">
        <is>
          <t>—</t>
        </is>
      </c>
    </row>
    <row r="18">
      <c r="A18" s="3" t="inlineStr">
        <is>
          <t>介護職員</t>
        </is>
      </c>
      <c r="B18" s="12" t="inlineStr">
        <is>
          <t>A 常勤・専従</t>
        </is>
      </c>
      <c r="C18" s="13" t="inlineStr">
        <is>
          <t>介護福祉士</t>
        </is>
      </c>
      <c r="D18" s="3" t="inlineStr">
        <is>
          <t>介護 03</t>
        </is>
      </c>
      <c r="E18" s="14" t="n">
        <v>8</v>
      </c>
      <c r="F18" s="15" t="n"/>
      <c r="G18" s="14" t="n">
        <v>8</v>
      </c>
      <c r="H18" s="14" t="n"/>
      <c r="I18" s="14" t="n"/>
      <c r="J18" s="14" t="n">
        <v>8</v>
      </c>
      <c r="K18" s="14" t="n">
        <v>8</v>
      </c>
      <c r="L18" s="14" t="n">
        <v>8</v>
      </c>
      <c r="M18" s="15" t="n"/>
      <c r="N18" s="14" t="n">
        <v>8</v>
      </c>
      <c r="O18" s="14" t="n"/>
      <c r="P18" s="14" t="n"/>
      <c r="Q18" s="14" t="n">
        <v>4</v>
      </c>
      <c r="R18" s="14" t="n">
        <v>8</v>
      </c>
      <c r="S18" s="14" t="n">
        <v>8</v>
      </c>
      <c r="T18" s="15" t="n"/>
      <c r="U18" s="14" t="n"/>
      <c r="V18" s="14" t="n">
        <v>8</v>
      </c>
      <c r="W18" s="14" t="n">
        <v>8</v>
      </c>
      <c r="X18" s="14" t="n"/>
      <c r="Y18" s="14" t="n">
        <v>4</v>
      </c>
      <c r="Z18" s="14" t="n"/>
      <c r="AA18" s="15" t="n"/>
      <c r="AB18" s="14" t="n">
        <v>8</v>
      </c>
      <c r="AC18" s="14" t="n">
        <v>8</v>
      </c>
      <c r="AD18" s="14" t="n">
        <v>8</v>
      </c>
      <c r="AE18" s="14" t="n"/>
      <c r="AF18" s="14" t="n"/>
      <c r="AG18" s="14" t="n"/>
      <c r="AH18" s="15" t="n"/>
      <c r="AI18" s="14" t="n"/>
      <c r="AJ18" s="16">
        <f>ROUND(SUM(E18:AI18),1)</f>
        <v/>
      </c>
      <c r="AK18" s="17">
        <f>ROUND(AJ18/4.4286,1)</f>
        <v/>
      </c>
      <c r="AL18" s="13" t="inlineStr">
        <is>
          <t>—</t>
        </is>
      </c>
    </row>
    <row r="19">
      <c r="A19" s="3" t="inlineStr">
        <is>
          <t>介護職員</t>
        </is>
      </c>
      <c r="B19" s="12" t="inlineStr">
        <is>
          <t>A 常勤・専従</t>
        </is>
      </c>
      <c r="C19" s="13" t="inlineStr">
        <is>
          <t>初任者研修修了</t>
        </is>
      </c>
      <c r="D19" s="3" t="inlineStr">
        <is>
          <t>介護 04</t>
        </is>
      </c>
      <c r="E19" s="14" t="n">
        <v>8</v>
      </c>
      <c r="F19" s="15" t="n"/>
      <c r="G19" s="14" t="n">
        <v>8</v>
      </c>
      <c r="H19" s="14" t="n">
        <v>8</v>
      </c>
      <c r="I19" s="14" t="n">
        <v>8</v>
      </c>
      <c r="J19" s="14" t="n"/>
      <c r="K19" s="14" t="n">
        <v>8</v>
      </c>
      <c r="L19" s="14" t="n"/>
      <c r="M19" s="15" t="n"/>
      <c r="N19" s="14" t="n"/>
      <c r="O19" s="14" t="n">
        <v>8</v>
      </c>
      <c r="P19" s="14" t="n"/>
      <c r="Q19" s="14" t="n">
        <v>8</v>
      </c>
      <c r="R19" s="14" t="n">
        <v>8</v>
      </c>
      <c r="S19" s="14" t="n">
        <v>8</v>
      </c>
      <c r="T19" s="15" t="n"/>
      <c r="U19" s="14" t="n">
        <v>4</v>
      </c>
      <c r="V19" s="14" t="n"/>
      <c r="W19" s="14" t="n"/>
      <c r="X19" s="14" t="n"/>
      <c r="Y19" s="14" t="n">
        <v>8</v>
      </c>
      <c r="Z19" s="14" t="n"/>
      <c r="AA19" s="15" t="n"/>
      <c r="AB19" s="14" t="n"/>
      <c r="AC19" s="14" t="n">
        <v>8</v>
      </c>
      <c r="AD19" s="14" t="n">
        <v>8</v>
      </c>
      <c r="AE19" s="14" t="n">
        <v>4</v>
      </c>
      <c r="AF19" s="14" t="n"/>
      <c r="AG19" s="14" t="n">
        <v>8</v>
      </c>
      <c r="AH19" s="15" t="n"/>
      <c r="AI19" s="14" t="n"/>
      <c r="AJ19" s="16">
        <f>ROUND(SUM(E19:AI19),1)</f>
        <v/>
      </c>
      <c r="AK19" s="17">
        <f>ROUND(AJ19/4.4286,1)</f>
        <v/>
      </c>
      <c r="AL19" s="13" t="inlineStr">
        <is>
          <t>—</t>
        </is>
      </c>
    </row>
    <row r="20">
      <c r="A20" s="3" t="inlineStr">
        <is>
          <t>介護職員</t>
        </is>
      </c>
      <c r="B20" s="12" t="inlineStr">
        <is>
          <t>A 常勤・専従</t>
        </is>
      </c>
      <c r="C20" s="13" t="inlineStr">
        <is>
          <t>初任者研修修了</t>
        </is>
      </c>
      <c r="D20" s="3" t="inlineStr">
        <is>
          <t>介護 05</t>
        </is>
      </c>
      <c r="E20" s="14" t="n">
        <v>8</v>
      </c>
      <c r="F20" s="15" t="n"/>
      <c r="G20" s="14" t="n">
        <v>8</v>
      </c>
      <c r="H20" s="14" t="n">
        <v>8</v>
      </c>
      <c r="I20" s="14" t="n"/>
      <c r="J20" s="14" t="n">
        <v>8</v>
      </c>
      <c r="K20" s="14" t="n"/>
      <c r="L20" s="14" t="n"/>
      <c r="M20" s="15" t="n"/>
      <c r="N20" s="14" t="n">
        <v>8</v>
      </c>
      <c r="O20" s="14" t="n">
        <v>8</v>
      </c>
      <c r="P20" s="14" t="n">
        <v>8</v>
      </c>
      <c r="Q20" s="14" t="n"/>
      <c r="R20" s="14" t="n"/>
      <c r="S20" s="14" t="n">
        <v>8</v>
      </c>
      <c r="T20" s="15" t="n"/>
      <c r="U20" s="14" t="n">
        <v>4</v>
      </c>
      <c r="V20" s="14" t="n">
        <v>8</v>
      </c>
      <c r="W20" s="14" t="n"/>
      <c r="X20" s="14" t="n">
        <v>8</v>
      </c>
      <c r="Y20" s="14" t="n">
        <v>8</v>
      </c>
      <c r="Z20" s="14" t="n"/>
      <c r="AA20" s="15" t="n"/>
      <c r="AB20" s="14" t="n">
        <v>4</v>
      </c>
      <c r="AC20" s="14" t="n"/>
      <c r="AD20" s="14" t="n">
        <v>4</v>
      </c>
      <c r="AE20" s="14" t="n">
        <v>8</v>
      </c>
      <c r="AF20" s="14" t="n"/>
      <c r="AG20" s="14" t="n"/>
      <c r="AH20" s="15" t="n"/>
      <c r="AI20" s="14" t="n">
        <v>8</v>
      </c>
      <c r="AJ20" s="16">
        <f>ROUND(SUM(E20:AI20),1)</f>
        <v/>
      </c>
      <c r="AK20" s="17">
        <f>ROUND(AJ20/4.4286,1)</f>
        <v/>
      </c>
      <c r="AL20" s="13" t="inlineStr">
        <is>
          <t>—</t>
        </is>
      </c>
    </row>
    <row r="21">
      <c r="A21" s="3" t="inlineStr">
        <is>
          <t>介護職員</t>
        </is>
      </c>
      <c r="B21" s="12" t="inlineStr">
        <is>
          <t>A 常勤・専従</t>
        </is>
      </c>
      <c r="C21" s="13" t="inlineStr">
        <is>
          <t>初任者研修修了</t>
        </is>
      </c>
      <c r="D21" s="3" t="inlineStr">
        <is>
          <t>介護 06</t>
        </is>
      </c>
      <c r="E21" s="14" t="n">
        <v>4</v>
      </c>
      <c r="F21" s="15" t="n"/>
      <c r="G21" s="14" t="n">
        <v>8</v>
      </c>
      <c r="H21" s="14" t="n"/>
      <c r="I21" s="14" t="n">
        <v>8</v>
      </c>
      <c r="J21" s="14" t="n">
        <v>8</v>
      </c>
      <c r="K21" s="14" t="n"/>
      <c r="L21" s="14" t="n">
        <v>8</v>
      </c>
      <c r="M21" s="15" t="n"/>
      <c r="N21" s="14" t="n"/>
      <c r="O21" s="14" t="n">
        <v>8</v>
      </c>
      <c r="P21" s="14" t="n">
        <v>8</v>
      </c>
      <c r="Q21" s="14" t="n">
        <v>8</v>
      </c>
      <c r="R21" s="14" t="n">
        <v>8</v>
      </c>
      <c r="S21" s="14" t="n">
        <v>8</v>
      </c>
      <c r="T21" s="15" t="n"/>
      <c r="U21" s="14" t="n"/>
      <c r="V21" s="14" t="n">
        <v>4</v>
      </c>
      <c r="W21" s="14" t="n">
        <v>4</v>
      </c>
      <c r="X21" s="14" t="n"/>
      <c r="Y21" s="14" t="n"/>
      <c r="Z21" s="14" t="n">
        <v>8</v>
      </c>
      <c r="AA21" s="15" t="n"/>
      <c r="AB21" s="14" t="n"/>
      <c r="AC21" s="14" t="n">
        <v>4</v>
      </c>
      <c r="AD21" s="14" t="n"/>
      <c r="AE21" s="14" t="n">
        <v>8</v>
      </c>
      <c r="AF21" s="14" t="n"/>
      <c r="AG21" s="14" t="n"/>
      <c r="AH21" s="15" t="n"/>
      <c r="AI21" s="14" t="n">
        <v>8</v>
      </c>
      <c r="AJ21" s="16">
        <f>ROUND(SUM(E21:AI21),1)</f>
        <v/>
      </c>
      <c r="AK21" s="17">
        <f>ROUND(AJ21/4.4286,1)</f>
        <v/>
      </c>
      <c r="AL21" s="13" t="inlineStr">
        <is>
          <t>—</t>
        </is>
      </c>
    </row>
    <row r="22">
      <c r="A22" s="3" t="inlineStr">
        <is>
          <t>介護職員</t>
        </is>
      </c>
      <c r="B22" s="12" t="inlineStr">
        <is>
          <t>A 常勤・専従</t>
        </is>
      </c>
      <c r="C22" s="13" t="inlineStr">
        <is>
          <t>初任者研修修了</t>
        </is>
      </c>
      <c r="D22" s="3" t="inlineStr">
        <is>
          <t>介護 07</t>
        </is>
      </c>
      <c r="E22" s="14" t="n"/>
      <c r="F22" s="15" t="n"/>
      <c r="G22" s="14" t="n"/>
      <c r="H22" s="14" t="n">
        <v>8</v>
      </c>
      <c r="I22" s="14" t="n">
        <v>8</v>
      </c>
      <c r="J22" s="14" t="n"/>
      <c r="K22" s="14" t="n"/>
      <c r="L22" s="14" t="n"/>
      <c r="M22" s="15" t="n"/>
      <c r="N22" s="14" t="n"/>
      <c r="O22" s="14" t="n">
        <v>8</v>
      </c>
      <c r="P22" s="14" t="n"/>
      <c r="Q22" s="14" t="n">
        <v>8</v>
      </c>
      <c r="R22" s="14" t="n"/>
      <c r="S22" s="14" t="n"/>
      <c r="T22" s="15" t="n"/>
      <c r="U22" s="14" t="n">
        <v>8</v>
      </c>
      <c r="V22" s="14" t="n">
        <v>8</v>
      </c>
      <c r="W22" s="14" t="n"/>
      <c r="X22" s="14" t="n"/>
      <c r="Y22" s="14" t="n">
        <v>8</v>
      </c>
      <c r="Z22" s="14" t="n">
        <v>8</v>
      </c>
      <c r="AA22" s="15" t="n"/>
      <c r="AB22" s="14" t="n">
        <v>8</v>
      </c>
      <c r="AC22" s="14" t="n">
        <v>8</v>
      </c>
      <c r="AD22" s="14" t="n">
        <v>8</v>
      </c>
      <c r="AE22" s="14" t="n"/>
      <c r="AF22" s="14" t="n">
        <v>8</v>
      </c>
      <c r="AG22" s="14" t="n">
        <v>8</v>
      </c>
      <c r="AH22" s="15" t="n"/>
      <c r="AI22" s="14" t="n">
        <v>8</v>
      </c>
      <c r="AJ22" s="16">
        <f>ROUND(SUM(E22:AI22),1)</f>
        <v/>
      </c>
      <c r="AK22" s="17">
        <f>ROUND(AJ22/4.4286,1)</f>
        <v/>
      </c>
      <c r="AL22" s="13" t="inlineStr">
        <is>
          <t>—</t>
        </is>
      </c>
    </row>
    <row r="23">
      <c r="A23" s="3" t="inlineStr">
        <is>
          <t>介護職員</t>
        </is>
      </c>
      <c r="B23" s="12" t="inlineStr">
        <is>
          <t>C 常勤以外・専従</t>
        </is>
      </c>
      <c r="C23" s="13" t="inlineStr">
        <is>
          <t>介護福祉士</t>
        </is>
      </c>
      <c r="D23" s="3" t="inlineStr">
        <is>
          <t>介護 08</t>
        </is>
      </c>
      <c r="E23" s="14" t="n">
        <v>8</v>
      </c>
      <c r="F23" s="15" t="n"/>
      <c r="G23" s="14" t="n"/>
      <c r="H23" s="14" t="n"/>
      <c r="I23" s="14" t="n">
        <v>8</v>
      </c>
      <c r="J23" s="14" t="n">
        <v>8</v>
      </c>
      <c r="K23" s="14" t="n"/>
      <c r="L23" s="14" t="n">
        <v>4</v>
      </c>
      <c r="M23" s="15" t="n"/>
      <c r="N23" s="14" t="n"/>
      <c r="O23" s="14" t="n">
        <v>8</v>
      </c>
      <c r="P23" s="14" t="n">
        <v>4</v>
      </c>
      <c r="Q23" s="14" t="n">
        <v>8</v>
      </c>
      <c r="R23" s="14" t="n"/>
      <c r="S23" s="14" t="n">
        <v>8</v>
      </c>
      <c r="T23" s="15" t="n"/>
      <c r="U23" s="14" t="n">
        <v>8</v>
      </c>
      <c r="V23" s="14" t="n"/>
      <c r="W23" s="14" t="n"/>
      <c r="X23" s="14" t="n"/>
      <c r="Y23" s="14" t="n">
        <v>8</v>
      </c>
      <c r="Z23" s="14" t="n">
        <v>8</v>
      </c>
      <c r="AA23" s="15" t="n"/>
      <c r="AB23" s="14" t="n"/>
      <c r="AC23" s="14" t="n"/>
      <c r="AD23" s="14" t="n"/>
      <c r="AE23" s="14" t="n">
        <v>8</v>
      </c>
      <c r="AF23" s="14" t="n">
        <v>8</v>
      </c>
      <c r="AG23" s="14" t="n">
        <v>8</v>
      </c>
      <c r="AH23" s="15" t="n"/>
      <c r="AI23" s="14" t="n">
        <v>8</v>
      </c>
      <c r="AJ23" s="16">
        <f>ROUND(SUM(E23:AI23),1)</f>
        <v/>
      </c>
      <c r="AK23" s="17">
        <f>ROUND(AJ23/4.4286,1)</f>
        <v/>
      </c>
      <c r="AL23" s="13" t="inlineStr">
        <is>
          <t>—</t>
        </is>
      </c>
    </row>
    <row r="24">
      <c r="A24" s="3" t="inlineStr">
        <is>
          <t>介護職員</t>
        </is>
      </c>
      <c r="B24" s="12" t="inlineStr">
        <is>
          <t>C 常勤以外・専従</t>
        </is>
      </c>
      <c r="C24" s="13" t="inlineStr">
        <is>
          <t>実務者研修修了</t>
        </is>
      </c>
      <c r="D24" s="3" t="inlineStr">
        <is>
          <t>介護 09</t>
        </is>
      </c>
      <c r="E24" s="14" t="n"/>
      <c r="F24" s="15" t="n"/>
      <c r="G24" s="14" t="n">
        <v>8</v>
      </c>
      <c r="H24" s="14" t="n"/>
      <c r="I24" s="14" t="n">
        <v>8</v>
      </c>
      <c r="J24" s="14" t="n">
        <v>8</v>
      </c>
      <c r="K24" s="14" t="n"/>
      <c r="L24" s="14" t="n"/>
      <c r="M24" s="15" t="n"/>
      <c r="N24" s="14" t="n">
        <v>8</v>
      </c>
      <c r="O24" s="14" t="n">
        <v>8</v>
      </c>
      <c r="P24" s="14" t="n"/>
      <c r="Q24" s="14" t="n"/>
      <c r="R24" s="14" t="n">
        <v>8</v>
      </c>
      <c r="S24" s="14" t="n"/>
      <c r="T24" s="15" t="n"/>
      <c r="U24" s="14" t="n"/>
      <c r="V24" s="14" t="n">
        <v>8</v>
      </c>
      <c r="W24" s="14" t="n">
        <v>8</v>
      </c>
      <c r="X24" s="14" t="n">
        <v>8</v>
      </c>
      <c r="Y24" s="14" t="n"/>
      <c r="Z24" s="14" t="n"/>
      <c r="AA24" s="15" t="n"/>
      <c r="AB24" s="14" t="n">
        <v>8</v>
      </c>
      <c r="AC24" s="14" t="n">
        <v>8</v>
      </c>
      <c r="AD24" s="14" t="n">
        <v>4</v>
      </c>
      <c r="AE24" s="14" t="n"/>
      <c r="AF24" s="14" t="n">
        <v>4</v>
      </c>
      <c r="AG24" s="14" t="n">
        <v>8</v>
      </c>
      <c r="AH24" s="15" t="n"/>
      <c r="AI24" s="14" t="n">
        <v>8</v>
      </c>
      <c r="AJ24" s="16">
        <f>ROUND(SUM(E24:AI24),1)</f>
        <v/>
      </c>
      <c r="AK24" s="17">
        <f>ROUND(AJ24/4.4286,1)</f>
        <v/>
      </c>
      <c r="AL24" s="13" t="inlineStr">
        <is>
          <t>—</t>
        </is>
      </c>
    </row>
    <row r="25">
      <c r="A25" s="3" t="inlineStr">
        <is>
          <t>介護職員</t>
        </is>
      </c>
      <c r="B25" s="12" t="inlineStr">
        <is>
          <t>C 常勤以外・専従</t>
        </is>
      </c>
      <c r="C25" s="13" t="inlineStr">
        <is>
          <t>初任者研修修了</t>
        </is>
      </c>
      <c r="D25" s="3" t="inlineStr">
        <is>
          <t>介護 10</t>
        </is>
      </c>
      <c r="E25" s="14" t="n">
        <v>8</v>
      </c>
      <c r="F25" s="15" t="n"/>
      <c r="G25" s="14" t="n"/>
      <c r="H25" s="14" t="n">
        <v>8</v>
      </c>
      <c r="I25" s="14" t="n"/>
      <c r="J25" s="14" t="n">
        <v>8</v>
      </c>
      <c r="K25" s="14" t="n"/>
      <c r="L25" s="14" t="n">
        <v>8</v>
      </c>
      <c r="M25" s="15" t="n"/>
      <c r="N25" s="14" t="n">
        <v>4</v>
      </c>
      <c r="O25" s="14" t="n"/>
      <c r="P25" s="14" t="n">
        <v>8</v>
      </c>
      <c r="Q25" s="14" t="n"/>
      <c r="R25" s="14" t="n">
        <v>4</v>
      </c>
      <c r="S25" s="14" t="n"/>
      <c r="T25" s="15" t="n"/>
      <c r="U25" s="14" t="n"/>
      <c r="V25" s="14" t="n">
        <v>4</v>
      </c>
      <c r="W25" s="14" t="n">
        <v>8</v>
      </c>
      <c r="X25" s="14" t="n">
        <v>8</v>
      </c>
      <c r="Y25" s="14" t="n">
        <v>4</v>
      </c>
      <c r="Z25" s="14" t="n">
        <v>8</v>
      </c>
      <c r="AA25" s="15" t="n"/>
      <c r="AB25" s="14" t="n"/>
      <c r="AC25" s="14" t="n">
        <v>8</v>
      </c>
      <c r="AD25" s="14" t="n">
        <v>8</v>
      </c>
      <c r="AE25" s="14" t="n"/>
      <c r="AF25" s="14" t="n"/>
      <c r="AG25" s="14" t="n">
        <v>8</v>
      </c>
      <c r="AH25" s="15" t="n"/>
      <c r="AI25" s="14" t="n">
        <v>8</v>
      </c>
      <c r="AJ25" s="16">
        <f>ROUND(SUM(E25:AI25),1)</f>
        <v/>
      </c>
      <c r="AK25" s="17">
        <f>ROUND(AJ25/4.4286,1)</f>
        <v/>
      </c>
      <c r="AL25" s="13" t="inlineStr">
        <is>
          <t>—</t>
        </is>
      </c>
    </row>
    <row r="26">
      <c r="A26" s="3" t="inlineStr">
        <is>
          <t>介護職員</t>
        </is>
      </c>
      <c r="B26" s="12" t="inlineStr">
        <is>
          <t>C 常勤以外・専従</t>
        </is>
      </c>
      <c r="C26" s="13" t="inlineStr">
        <is>
          <t>介護福祉士</t>
        </is>
      </c>
      <c r="D26" s="3" t="inlineStr">
        <is>
          <t>介護 11</t>
        </is>
      </c>
      <c r="E26" s="14" t="n">
        <v>8</v>
      </c>
      <c r="F26" s="15" t="n"/>
      <c r="G26" s="14" t="n">
        <v>8</v>
      </c>
      <c r="H26" s="14" t="n"/>
      <c r="I26" s="14" t="n">
        <v>8</v>
      </c>
      <c r="J26" s="14" t="n"/>
      <c r="K26" s="14" t="n"/>
      <c r="L26" s="14" t="n">
        <v>8</v>
      </c>
      <c r="M26" s="15" t="n"/>
      <c r="N26" s="14" t="n"/>
      <c r="O26" s="14" t="n">
        <v>8</v>
      </c>
      <c r="P26" s="14" t="n"/>
      <c r="Q26" s="14" t="n"/>
      <c r="R26" s="14" t="n">
        <v>8</v>
      </c>
      <c r="S26" s="14" t="n"/>
      <c r="T26" s="15" t="n"/>
      <c r="U26" s="14" t="n">
        <v>8</v>
      </c>
      <c r="V26" s="14" t="n">
        <v>8</v>
      </c>
      <c r="W26" s="14" t="n"/>
      <c r="X26" s="14" t="n"/>
      <c r="Y26" s="14" t="n">
        <v>8</v>
      </c>
      <c r="Z26" s="14" t="n"/>
      <c r="AA26" s="15" t="n"/>
      <c r="AB26" s="14" t="n">
        <v>8</v>
      </c>
      <c r="AC26" s="14" t="n"/>
      <c r="AD26" s="14" t="n">
        <v>8</v>
      </c>
      <c r="AE26" s="14" t="n"/>
      <c r="AF26" s="14" t="n">
        <v>8</v>
      </c>
      <c r="AG26" s="14" t="n">
        <v>8</v>
      </c>
      <c r="AH26" s="15" t="n"/>
      <c r="AI26" s="14" t="n">
        <v>8</v>
      </c>
      <c r="AJ26" s="16">
        <f>ROUND(SUM(E26:AI26),1)</f>
        <v/>
      </c>
      <c r="AK26" s="17">
        <f>ROUND(AJ26/4.4286,1)</f>
        <v/>
      </c>
      <c r="AL26" s="13" t="inlineStr">
        <is>
          <t>—</t>
        </is>
      </c>
    </row>
    <row r="27">
      <c r="A27" s="3" t="inlineStr">
        <is>
          <t>介護職員</t>
        </is>
      </c>
      <c r="B27" s="12" t="inlineStr">
        <is>
          <t>C 常勤以外・専従</t>
        </is>
      </c>
      <c r="C27" s="13" t="inlineStr">
        <is>
          <t>介護福祉士</t>
        </is>
      </c>
      <c r="D27" s="3" t="inlineStr">
        <is>
          <t>介護 12</t>
        </is>
      </c>
      <c r="E27" s="14" t="n"/>
      <c r="F27" s="15" t="n"/>
      <c r="G27" s="14" t="n">
        <v>4</v>
      </c>
      <c r="H27" s="14" t="n">
        <v>8</v>
      </c>
      <c r="I27" s="14" t="n"/>
      <c r="J27" s="14" t="n">
        <v>4</v>
      </c>
      <c r="K27" s="14" t="n">
        <v>8</v>
      </c>
      <c r="L27" s="14" t="n">
        <v>8</v>
      </c>
      <c r="M27" s="15" t="n"/>
      <c r="N27" s="14" t="n"/>
      <c r="O27" s="14" t="n"/>
      <c r="P27" s="14" t="n"/>
      <c r="Q27" s="14" t="n">
        <v>8</v>
      </c>
      <c r="R27" s="14" t="n">
        <v>8</v>
      </c>
      <c r="S27" s="14" t="n">
        <v>8</v>
      </c>
      <c r="T27" s="15" t="n"/>
      <c r="U27" s="14" t="n">
        <v>8</v>
      </c>
      <c r="V27" s="14" t="n"/>
      <c r="W27" s="14" t="n"/>
      <c r="X27" s="14" t="n">
        <v>8</v>
      </c>
      <c r="Y27" s="14" t="n"/>
      <c r="Z27" s="14" t="n"/>
      <c r="AA27" s="15" t="n"/>
      <c r="AB27" s="14" t="n"/>
      <c r="AC27" s="14" t="n">
        <v>8</v>
      </c>
      <c r="AD27" s="14" t="n"/>
      <c r="AE27" s="14" t="n">
        <v>8</v>
      </c>
      <c r="AF27" s="14" t="n">
        <v>8</v>
      </c>
      <c r="AG27" s="14" t="n">
        <v>8</v>
      </c>
      <c r="AH27" s="15" t="n"/>
      <c r="AI27" s="14" t="n">
        <v>8</v>
      </c>
      <c r="AJ27" s="16">
        <f>ROUND(SUM(E27:AI27),1)</f>
        <v/>
      </c>
      <c r="AK27" s="17">
        <f>ROUND(AJ27/4.4286,1)</f>
        <v/>
      </c>
      <c r="AL27" s="13" t="inlineStr">
        <is>
          <t>—</t>
        </is>
      </c>
    </row>
    <row r="28">
      <c r="A28" s="3" t="inlineStr">
        <is>
          <t>機能訓練指導員</t>
        </is>
      </c>
      <c r="B28" s="12" t="inlineStr">
        <is>
          <t>B 常勤・兼務</t>
        </is>
      </c>
      <c r="C28" s="13" t="inlineStr">
        <is>
          <t>理学療法士</t>
        </is>
      </c>
      <c r="D28" s="3" t="inlineStr">
        <is>
          <t>伊藤 健（70%）</t>
        </is>
      </c>
      <c r="E28" s="14" t="n">
        <v>5.6</v>
      </c>
      <c r="F28" s="15" t="n"/>
      <c r="G28" s="14" t="n">
        <v>5.6</v>
      </c>
      <c r="H28" s="14" t="n">
        <v>5.6</v>
      </c>
      <c r="I28" s="14" t="n"/>
      <c r="J28" s="14" t="n">
        <v>5.6</v>
      </c>
      <c r="K28" s="14" t="n">
        <v>5.6</v>
      </c>
      <c r="L28" s="14" t="n">
        <v>5.6</v>
      </c>
      <c r="M28" s="15" t="n"/>
      <c r="N28" s="14" t="n">
        <v>5.6</v>
      </c>
      <c r="O28" s="14" t="n">
        <v>5.6</v>
      </c>
      <c r="P28" s="14" t="n"/>
      <c r="Q28" s="14" t="n">
        <v>5.6</v>
      </c>
      <c r="R28" s="14" t="n">
        <v>5.6</v>
      </c>
      <c r="S28" s="14" t="n"/>
      <c r="T28" s="15" t="n"/>
      <c r="U28" s="14" t="n">
        <v>5.6</v>
      </c>
      <c r="V28" s="14" t="n">
        <v>5.6</v>
      </c>
      <c r="W28" s="14" t="n">
        <v>5.6</v>
      </c>
      <c r="X28" s="14" t="n">
        <v>5.6</v>
      </c>
      <c r="Y28" s="14" t="n">
        <v>5.6</v>
      </c>
      <c r="Z28" s="14" t="n"/>
      <c r="AA28" s="15" t="n"/>
      <c r="AB28" s="14" t="n">
        <v>5.6</v>
      </c>
      <c r="AC28" s="14" t="n">
        <v>5.6</v>
      </c>
      <c r="AD28" s="14" t="n">
        <v>5.6</v>
      </c>
      <c r="AE28" s="14" t="n">
        <v>5.6</v>
      </c>
      <c r="AF28" s="14" t="n">
        <v>5.6</v>
      </c>
      <c r="AG28" s="14" t="n"/>
      <c r="AH28" s="15" t="n"/>
      <c r="AI28" s="14" t="n"/>
      <c r="AJ28" s="16">
        <f>ROUND(SUM(E28:AI28),1)</f>
        <v/>
      </c>
      <c r="AK28" s="17">
        <f>ROUND(AJ28/4.4286,1)</f>
        <v/>
      </c>
      <c r="AL28" s="13" t="inlineStr">
        <is>
          <t>介護職員 と兼務（当欄は70%分）</t>
        </is>
      </c>
    </row>
    <row r="29">
      <c r="A29" s="3" t="inlineStr">
        <is>
          <t>機能訓練指導員</t>
        </is>
      </c>
      <c r="B29" s="12" t="inlineStr">
        <is>
          <t>C 常勤以外・専従</t>
        </is>
      </c>
      <c r="C29" s="13" t="inlineStr">
        <is>
          <t>柔道整復師</t>
        </is>
      </c>
      <c r="D29" s="3" t="inlineStr">
        <is>
          <t>渡辺 直美</t>
        </is>
      </c>
      <c r="E29" s="14" t="n">
        <v>4</v>
      </c>
      <c r="F29" s="15" t="n"/>
      <c r="G29" s="14" t="n">
        <v>4</v>
      </c>
      <c r="H29" s="14" t="n"/>
      <c r="I29" s="14" t="n">
        <v>8</v>
      </c>
      <c r="J29" s="14" t="n">
        <v>4</v>
      </c>
      <c r="K29" s="14" t="n">
        <v>4</v>
      </c>
      <c r="L29" s="14" t="n">
        <v>4</v>
      </c>
      <c r="M29" s="15" t="n"/>
      <c r="N29" s="14" t="n">
        <v>4</v>
      </c>
      <c r="O29" s="14" t="n">
        <v>4</v>
      </c>
      <c r="P29" s="14" t="n">
        <v>8</v>
      </c>
      <c r="Q29" s="14" t="n"/>
      <c r="R29" s="14" t="n">
        <v>4</v>
      </c>
      <c r="S29" s="14" t="n">
        <v>8</v>
      </c>
      <c r="T29" s="15" t="n"/>
      <c r="U29" s="14" t="n">
        <v>4</v>
      </c>
      <c r="V29" s="14" t="n">
        <v>4</v>
      </c>
      <c r="W29" s="14" t="n">
        <v>4</v>
      </c>
      <c r="X29" s="14" t="n">
        <v>4</v>
      </c>
      <c r="Y29" s="14" t="n"/>
      <c r="Z29" s="14" t="n">
        <v>8</v>
      </c>
      <c r="AA29" s="15" t="n"/>
      <c r="AB29" s="14" t="n">
        <v>4</v>
      </c>
      <c r="AC29" s="14" t="n">
        <v>4</v>
      </c>
      <c r="AD29" s="14" t="n"/>
      <c r="AE29" s="14" t="n">
        <v>4</v>
      </c>
      <c r="AF29" s="14" t="n">
        <v>4</v>
      </c>
      <c r="AG29" s="14" t="n">
        <v>8</v>
      </c>
      <c r="AH29" s="15" t="n"/>
      <c r="AI29" s="14" t="n">
        <v>8</v>
      </c>
      <c r="AJ29" s="16">
        <f>ROUND(SUM(E29:AI29),1)</f>
        <v/>
      </c>
      <c r="AK29" s="17">
        <f>ROUND(AJ29/4.4286,1)</f>
        <v/>
      </c>
      <c r="AL29" s="13" t="inlineStr">
        <is>
          <t>—</t>
        </is>
      </c>
    </row>
    <row r="31">
      <c r="A31" s="18" t="inlineStr">
        <is>
          <t>職種別 常勤換算後の人数と人員配置基準の判定</t>
        </is>
      </c>
    </row>
    <row r="32" ht="30" customHeight="1">
      <c r="A32" s="5" t="inlineStr">
        <is>
          <t>職種</t>
        </is>
      </c>
      <c r="B32" s="5" t="inlineStr">
        <is>
          <t>勤務延時間数
(当月・時間)</t>
        </is>
      </c>
      <c r="C32" s="5" t="inlineStr">
        <is>
          <t>常勤が勤務すべき
時間数(時間)</t>
        </is>
      </c>
      <c r="D32" s="5" t="inlineStr">
        <is>
          <t>常勤換算後の人数</t>
        </is>
      </c>
      <c r="E32" s="5" t="inlineStr">
        <is>
          <t>基準上必要な数</t>
        </is>
      </c>
      <c r="I32" s="5" t="inlineStr">
        <is>
          <t>判定</t>
        </is>
      </c>
    </row>
    <row r="33">
      <c r="A33" s="19" t="inlineStr">
        <is>
          <t>生活相談員</t>
        </is>
      </c>
      <c r="B33" s="17">
        <f>ROUND(AJ11+AJ12,1)</f>
        <v/>
      </c>
      <c r="C33" s="17" t="n">
        <v>160</v>
      </c>
      <c r="D33" s="16">
        <f>ROUNDDOWN(B33/C33,1)</f>
        <v/>
      </c>
      <c r="E33" s="17" t="n">
        <v>1</v>
      </c>
      <c r="I33" s="20" t="inlineStr">
        <is>
          <t>日別に要確認</t>
        </is>
      </c>
    </row>
    <row r="34">
      <c r="A34" s="19" t="inlineStr">
        <is>
          <t>看護職員</t>
        </is>
      </c>
      <c r="B34" s="17">
        <f>ROUND(AJ13+AJ14,1)</f>
        <v/>
      </c>
      <c r="C34" s="17" t="n">
        <v>160</v>
      </c>
      <c r="D34" s="16">
        <f>ROUNDDOWN(B34/C34,1)</f>
        <v/>
      </c>
      <c r="E34" s="17" t="n">
        <v>1</v>
      </c>
      <c r="I34" s="21" t="inlineStr">
        <is>
          <t>適合</t>
        </is>
      </c>
    </row>
    <row r="35">
      <c r="A35" s="19" t="inlineStr">
        <is>
          <t>介護職員</t>
        </is>
      </c>
      <c r="B35" s="17">
        <f>ROUND(AJ15+AJ16+AJ17+AJ18+AJ19+AJ20+AJ21+AJ22+AJ23+AJ24+AJ25+AJ26+AJ27,1)</f>
        <v/>
      </c>
      <c r="C35" s="17" t="n">
        <v>160</v>
      </c>
      <c r="D35" s="16">
        <f>ROUNDDOWN(B35/C35,1)</f>
        <v/>
      </c>
      <c r="E35" s="17" t="n">
        <v>2.4</v>
      </c>
      <c r="I35" s="21" t="inlineStr">
        <is>
          <t>適合</t>
        </is>
      </c>
    </row>
    <row r="36">
      <c r="A36" s="19" t="inlineStr">
        <is>
          <t>機能訓練指導員</t>
        </is>
      </c>
      <c r="B36" s="17">
        <f>ROUND(AJ28+AJ29,1)</f>
        <v/>
      </c>
      <c r="C36" s="17" t="n">
        <v>160</v>
      </c>
      <c r="D36" s="16">
        <f>ROUNDDOWN(B36/C36,1)</f>
        <v/>
      </c>
      <c r="E36" s="17" t="n">
        <v>1</v>
      </c>
      <c r="I36" s="20" t="inlineStr">
        <is>
          <t>日別に要確認</t>
        </is>
      </c>
    </row>
    <row r="38">
      <c r="A38" s="22" t="inlineStr">
        <is>
          <t>※ 常勤換算後の人数 ＝ 勤務延時間数 ÷ 常勤の従業者が勤務すべき時間数（小数点以下第2位を切り捨て）</t>
        </is>
      </c>
    </row>
    <row r="39">
      <c r="A39" s="22" t="inlineStr">
        <is>
          <t>※ 管理者は常勤換算の対象外のため、上表の判定には算入していない。</t>
        </is>
      </c>
    </row>
    <row r="40">
      <c r="A40" s="22" t="inlineStr">
        <is>
          <t>※ 兼務者は職種ごとに行を分け、勤務時間を従事割合で按分して計上している。</t>
        </is>
      </c>
    </row>
    <row r="41">
      <c r="A41" s="22" t="inlineStr">
        <is>
          <t>※ 上表は暦月を単位とした集計である。日ごとの人員配置基準の充足状況は「日別の基準判定」シートを参照。</t>
        </is>
      </c>
    </row>
  </sheetData>
  <mergeCells count="35">
    <mergeCell ref="B3:C3"/>
    <mergeCell ref="AJ8:AJ9"/>
    <mergeCell ref="I35:L35"/>
    <mergeCell ref="B8:B9"/>
    <mergeCell ref="A40:AL40"/>
    <mergeCell ref="A39:AL39"/>
    <mergeCell ref="I3:Q3"/>
    <mergeCell ref="E32:H32"/>
    <mergeCell ref="D6:H6"/>
    <mergeCell ref="I5:Q5"/>
    <mergeCell ref="I34:L34"/>
    <mergeCell ref="E33:H33"/>
    <mergeCell ref="I4:Q4"/>
    <mergeCell ref="A1:D1"/>
    <mergeCell ref="I36:L36"/>
    <mergeCell ref="A8:A9"/>
    <mergeCell ref="A41:AL41"/>
    <mergeCell ref="C8:C9"/>
    <mergeCell ref="AL8:AL9"/>
    <mergeCell ref="E35:H35"/>
    <mergeCell ref="A31:F31"/>
    <mergeCell ref="D8:D9"/>
    <mergeCell ref="I32:L32"/>
    <mergeCell ref="D4:H4"/>
    <mergeCell ref="D3:H3"/>
    <mergeCell ref="I6:Q6"/>
    <mergeCell ref="B6:C6"/>
    <mergeCell ref="B5:C5"/>
    <mergeCell ref="AK8:AK9"/>
    <mergeCell ref="E34:H34"/>
    <mergeCell ref="D5:H5"/>
    <mergeCell ref="I33:L33"/>
    <mergeCell ref="B4:C4"/>
    <mergeCell ref="A38:AL38"/>
    <mergeCell ref="E36:H3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 ht="22" customHeight="1">
      <c r="A1" s="23" t="inlineStr">
        <is>
          <t>日別の人員配置基準 充足状況（2026年8月）</t>
        </is>
      </c>
    </row>
    <row r="3">
      <c r="A3" s="8" t="inlineStr">
        <is>
          <t>職種</t>
        </is>
      </c>
      <c r="B3" s="8" t="inlineStr">
        <is>
          <t>区分</t>
        </is>
      </c>
      <c r="C3" s="24" t="inlineStr">
        <is>
          <t>1
土</t>
        </is>
      </c>
      <c r="D3" s="25" t="inlineStr">
        <is>
          <t>2
日</t>
        </is>
      </c>
      <c r="E3" s="26" t="inlineStr">
        <is>
          <t>3
月</t>
        </is>
      </c>
      <c r="F3" s="26" t="inlineStr">
        <is>
          <t>4
火</t>
        </is>
      </c>
      <c r="G3" s="26" t="inlineStr">
        <is>
          <t>5
水</t>
        </is>
      </c>
      <c r="H3" s="26" t="inlineStr">
        <is>
          <t>6
木</t>
        </is>
      </c>
      <c r="I3" s="26" t="inlineStr">
        <is>
          <t>7
金</t>
        </is>
      </c>
      <c r="J3" s="24" t="inlineStr">
        <is>
          <t>8
土</t>
        </is>
      </c>
      <c r="K3" s="25" t="inlineStr">
        <is>
          <t>9
日</t>
        </is>
      </c>
      <c r="L3" s="26" t="inlineStr">
        <is>
          <t>10
月</t>
        </is>
      </c>
      <c r="M3" s="26" t="inlineStr">
        <is>
          <t>11
火</t>
        </is>
      </c>
      <c r="N3" s="26" t="inlineStr">
        <is>
          <t>12
水</t>
        </is>
      </c>
      <c r="O3" s="26" t="inlineStr">
        <is>
          <t>13
木</t>
        </is>
      </c>
      <c r="P3" s="26" t="inlineStr">
        <is>
          <t>14
金</t>
        </is>
      </c>
      <c r="Q3" s="24" t="inlineStr">
        <is>
          <t>15
土</t>
        </is>
      </c>
      <c r="R3" s="25" t="inlineStr">
        <is>
          <t>16
日</t>
        </is>
      </c>
      <c r="S3" s="26" t="inlineStr">
        <is>
          <t>17
月</t>
        </is>
      </c>
      <c r="T3" s="26" t="inlineStr">
        <is>
          <t>18
火</t>
        </is>
      </c>
      <c r="U3" s="26" t="inlineStr">
        <is>
          <t>19
水</t>
        </is>
      </c>
      <c r="V3" s="26" t="inlineStr">
        <is>
          <t>20
木</t>
        </is>
      </c>
      <c r="W3" s="26" t="inlineStr">
        <is>
          <t>21
金</t>
        </is>
      </c>
      <c r="X3" s="24" t="inlineStr">
        <is>
          <t>22
土</t>
        </is>
      </c>
      <c r="Y3" s="25" t="inlineStr">
        <is>
          <t>23
日</t>
        </is>
      </c>
      <c r="Z3" s="26" t="inlineStr">
        <is>
          <t>24
月</t>
        </is>
      </c>
      <c r="AA3" s="26" t="inlineStr">
        <is>
          <t>25
火</t>
        </is>
      </c>
      <c r="AB3" s="26" t="inlineStr">
        <is>
          <t>26
水</t>
        </is>
      </c>
      <c r="AC3" s="26" t="inlineStr">
        <is>
          <t>27
木</t>
        </is>
      </c>
      <c r="AD3" s="26" t="inlineStr">
        <is>
          <t>28
金</t>
        </is>
      </c>
      <c r="AE3" s="24" t="inlineStr">
        <is>
          <t>29
土</t>
        </is>
      </c>
      <c r="AF3" s="25" t="inlineStr">
        <is>
          <t>30
日</t>
        </is>
      </c>
      <c r="AG3" s="26" t="inlineStr">
        <is>
          <t>31
月</t>
        </is>
      </c>
    </row>
    <row r="4">
      <c r="A4" s="19" t="inlineStr">
        <is>
          <t>生活相談員</t>
        </is>
      </c>
      <c r="B4" s="27" t="inlineStr">
        <is>
          <t>必要</t>
        </is>
      </c>
      <c r="C4" s="14" t="n">
        <v>1</v>
      </c>
      <c r="D4" s="15" t="n">
        <v>0</v>
      </c>
      <c r="E4" s="14" t="n">
        <v>1</v>
      </c>
      <c r="F4" s="14" t="n">
        <v>1</v>
      </c>
      <c r="G4" s="14" t="n">
        <v>1</v>
      </c>
      <c r="H4" s="14" t="n">
        <v>1</v>
      </c>
      <c r="I4" s="14" t="n">
        <v>1</v>
      </c>
      <c r="J4" s="14" t="n">
        <v>1</v>
      </c>
      <c r="K4" s="15" t="n">
        <v>0</v>
      </c>
      <c r="L4" s="14" t="n">
        <v>1</v>
      </c>
      <c r="M4" s="14" t="n">
        <v>1</v>
      </c>
      <c r="N4" s="14" t="n">
        <v>1</v>
      </c>
      <c r="O4" s="14" t="n">
        <v>1</v>
      </c>
      <c r="P4" s="14" t="n">
        <v>1</v>
      </c>
      <c r="Q4" s="14" t="n">
        <v>1</v>
      </c>
      <c r="R4" s="15" t="n">
        <v>0</v>
      </c>
      <c r="S4" s="14" t="n">
        <v>1</v>
      </c>
      <c r="T4" s="14" t="n">
        <v>1</v>
      </c>
      <c r="U4" s="14" t="n">
        <v>1</v>
      </c>
      <c r="V4" s="14" t="n">
        <v>1</v>
      </c>
      <c r="W4" s="14" t="n">
        <v>1</v>
      </c>
      <c r="X4" s="14" t="n">
        <v>1</v>
      </c>
      <c r="Y4" s="15" t="n">
        <v>0</v>
      </c>
      <c r="Z4" s="14" t="n">
        <v>1</v>
      </c>
      <c r="AA4" s="14" t="n">
        <v>1</v>
      </c>
      <c r="AB4" s="14" t="n">
        <v>1</v>
      </c>
      <c r="AC4" s="14" t="n">
        <v>1</v>
      </c>
      <c r="AD4" s="14" t="n">
        <v>1</v>
      </c>
      <c r="AE4" s="14" t="n">
        <v>1</v>
      </c>
      <c r="AF4" s="15" t="n">
        <v>0</v>
      </c>
      <c r="AG4" s="14" t="n">
        <v>1</v>
      </c>
    </row>
    <row r="5">
      <c r="A5" s="3" t="inlineStr"/>
      <c r="B5" s="27" t="inlineStr">
        <is>
          <t>実際</t>
        </is>
      </c>
      <c r="C5" s="14" t="n">
        <v>1</v>
      </c>
      <c r="D5" s="15" t="n">
        <v>0</v>
      </c>
      <c r="E5" s="14" t="n">
        <v>1</v>
      </c>
      <c r="F5" s="28" t="n">
        <v>0.5</v>
      </c>
      <c r="G5" s="14" t="n">
        <v>1</v>
      </c>
      <c r="H5" s="14" t="n">
        <v>1</v>
      </c>
      <c r="I5" s="14" t="n">
        <v>1</v>
      </c>
      <c r="J5" s="14" t="n">
        <v>1</v>
      </c>
      <c r="K5" s="15" t="n">
        <v>0</v>
      </c>
      <c r="L5" s="28" t="n">
        <v>0.5</v>
      </c>
      <c r="M5" s="14" t="n">
        <v>1</v>
      </c>
      <c r="N5" s="14" t="n">
        <v>1</v>
      </c>
      <c r="O5" s="14" t="n">
        <v>1</v>
      </c>
      <c r="P5" s="14" t="n">
        <v>1</v>
      </c>
      <c r="Q5" s="14" t="n">
        <v>1</v>
      </c>
      <c r="R5" s="15" t="n">
        <v>0</v>
      </c>
      <c r="S5" s="14" t="n">
        <v>1</v>
      </c>
      <c r="T5" s="14" t="n">
        <v>1</v>
      </c>
      <c r="U5" s="14" t="n">
        <v>1</v>
      </c>
      <c r="V5" s="28" t="n">
        <v>0.5</v>
      </c>
      <c r="W5" s="14" t="n">
        <v>1</v>
      </c>
      <c r="X5" s="14" t="n">
        <v>1</v>
      </c>
      <c r="Y5" s="15" t="n">
        <v>0</v>
      </c>
      <c r="Z5" s="14" t="n">
        <v>1</v>
      </c>
      <c r="AA5" s="14" t="n">
        <v>1</v>
      </c>
      <c r="AB5" s="28" t="n">
        <v>0.5</v>
      </c>
      <c r="AC5" s="14" t="n">
        <v>1</v>
      </c>
      <c r="AD5" s="14" t="n">
        <v>1</v>
      </c>
      <c r="AE5" s="14" t="n">
        <v>1</v>
      </c>
      <c r="AF5" s="15" t="n">
        <v>0</v>
      </c>
      <c r="AG5" s="14" t="n">
        <v>1</v>
      </c>
    </row>
    <row r="6">
      <c r="A6" s="19" t="inlineStr">
        <is>
          <t>看護職員</t>
        </is>
      </c>
      <c r="B6" s="27" t="inlineStr">
        <is>
          <t>必要</t>
        </is>
      </c>
      <c r="C6" s="14" t="n">
        <v>1</v>
      </c>
      <c r="D6" s="15" t="n">
        <v>0</v>
      </c>
      <c r="E6" s="14" t="n">
        <v>1</v>
      </c>
      <c r="F6" s="14" t="n">
        <v>1</v>
      </c>
      <c r="G6" s="14" t="n">
        <v>1</v>
      </c>
      <c r="H6" s="14" t="n">
        <v>1</v>
      </c>
      <c r="I6" s="14" t="n">
        <v>1</v>
      </c>
      <c r="J6" s="14" t="n">
        <v>1</v>
      </c>
      <c r="K6" s="15" t="n">
        <v>0</v>
      </c>
      <c r="L6" s="14" t="n">
        <v>1</v>
      </c>
      <c r="M6" s="14" t="n">
        <v>1</v>
      </c>
      <c r="N6" s="14" t="n">
        <v>1</v>
      </c>
      <c r="O6" s="14" t="n">
        <v>1</v>
      </c>
      <c r="P6" s="14" t="n">
        <v>1</v>
      </c>
      <c r="Q6" s="14" t="n">
        <v>1</v>
      </c>
      <c r="R6" s="15" t="n">
        <v>0</v>
      </c>
      <c r="S6" s="14" t="n">
        <v>1</v>
      </c>
      <c r="T6" s="14" t="n">
        <v>1</v>
      </c>
      <c r="U6" s="14" t="n">
        <v>1</v>
      </c>
      <c r="V6" s="14" t="n">
        <v>1</v>
      </c>
      <c r="W6" s="14" t="n">
        <v>1</v>
      </c>
      <c r="X6" s="14" t="n">
        <v>1</v>
      </c>
      <c r="Y6" s="15" t="n">
        <v>0</v>
      </c>
      <c r="Z6" s="14" t="n">
        <v>1</v>
      </c>
      <c r="AA6" s="14" t="n">
        <v>1</v>
      </c>
      <c r="AB6" s="14" t="n">
        <v>1</v>
      </c>
      <c r="AC6" s="14" t="n">
        <v>1</v>
      </c>
      <c r="AD6" s="14" t="n">
        <v>1</v>
      </c>
      <c r="AE6" s="14" t="n">
        <v>1</v>
      </c>
      <c r="AF6" s="15" t="n">
        <v>0</v>
      </c>
      <c r="AG6" s="14" t="n">
        <v>1</v>
      </c>
    </row>
    <row r="7">
      <c r="A7" s="3" t="inlineStr"/>
      <c r="B7" s="27" t="inlineStr">
        <is>
          <t>実際</t>
        </is>
      </c>
      <c r="C7" s="14" t="n">
        <v>2</v>
      </c>
      <c r="D7" s="15" t="n">
        <v>0</v>
      </c>
      <c r="E7" s="14" t="n">
        <v>1</v>
      </c>
      <c r="F7" s="14" t="n">
        <v>1</v>
      </c>
      <c r="G7" s="14" t="n">
        <v>1</v>
      </c>
      <c r="H7" s="14" t="n">
        <v>1.5</v>
      </c>
      <c r="I7" s="14" t="n">
        <v>1</v>
      </c>
      <c r="J7" s="14" t="n">
        <v>1</v>
      </c>
      <c r="K7" s="15" t="n">
        <v>0</v>
      </c>
      <c r="L7" s="14" t="n">
        <v>1</v>
      </c>
      <c r="M7" s="14" t="n">
        <v>1</v>
      </c>
      <c r="N7" s="14" t="n">
        <v>1</v>
      </c>
      <c r="O7" s="14" t="n">
        <v>1</v>
      </c>
      <c r="P7" s="14" t="n">
        <v>1</v>
      </c>
      <c r="Q7" s="14" t="n">
        <v>1</v>
      </c>
      <c r="R7" s="15" t="n">
        <v>0</v>
      </c>
      <c r="S7" s="14" t="n">
        <v>1</v>
      </c>
      <c r="T7" s="14" t="n">
        <v>1.5</v>
      </c>
      <c r="U7" s="14" t="n">
        <v>1</v>
      </c>
      <c r="V7" s="14" t="n">
        <v>1</v>
      </c>
      <c r="W7" s="14" t="n">
        <v>1</v>
      </c>
      <c r="X7" s="14" t="n">
        <v>1</v>
      </c>
      <c r="Y7" s="15" t="n">
        <v>0</v>
      </c>
      <c r="Z7" s="14" t="n">
        <v>1</v>
      </c>
      <c r="AA7" s="14" t="n">
        <v>1</v>
      </c>
      <c r="AB7" s="14" t="n">
        <v>1</v>
      </c>
      <c r="AC7" s="14" t="n">
        <v>1</v>
      </c>
      <c r="AD7" s="14" t="n">
        <v>1</v>
      </c>
      <c r="AE7" s="14" t="n">
        <v>1</v>
      </c>
      <c r="AF7" s="15" t="n">
        <v>0</v>
      </c>
      <c r="AG7" s="14" t="n">
        <v>1</v>
      </c>
    </row>
    <row r="8">
      <c r="A8" s="19" t="inlineStr">
        <is>
          <t>介護職員</t>
        </is>
      </c>
      <c r="B8" s="27" t="inlineStr">
        <is>
          <t>必要</t>
        </is>
      </c>
      <c r="C8" s="14" t="n">
        <v>2.4</v>
      </c>
      <c r="D8" s="15" t="n">
        <v>0</v>
      </c>
      <c r="E8" s="14" t="n">
        <v>2.4</v>
      </c>
      <c r="F8" s="14" t="n">
        <v>2.4</v>
      </c>
      <c r="G8" s="14" t="n">
        <v>2.4</v>
      </c>
      <c r="H8" s="14" t="n">
        <v>2.4</v>
      </c>
      <c r="I8" s="14" t="n">
        <v>2.4</v>
      </c>
      <c r="J8" s="14" t="n">
        <v>2.4</v>
      </c>
      <c r="K8" s="15" t="n">
        <v>0</v>
      </c>
      <c r="L8" s="14" t="n">
        <v>2.4</v>
      </c>
      <c r="M8" s="14" t="n">
        <v>2.4</v>
      </c>
      <c r="N8" s="14" t="n">
        <v>2.4</v>
      </c>
      <c r="O8" s="14" t="n">
        <v>2.4</v>
      </c>
      <c r="P8" s="14" t="n">
        <v>2.4</v>
      </c>
      <c r="Q8" s="14" t="n">
        <v>2.4</v>
      </c>
      <c r="R8" s="15" t="n">
        <v>0</v>
      </c>
      <c r="S8" s="14" t="n">
        <v>2.4</v>
      </c>
      <c r="T8" s="14" t="n">
        <v>2.4</v>
      </c>
      <c r="U8" s="14" t="n">
        <v>2.4</v>
      </c>
      <c r="V8" s="14" t="n">
        <v>2.4</v>
      </c>
      <c r="W8" s="14" t="n">
        <v>2.4</v>
      </c>
      <c r="X8" s="14" t="n">
        <v>2.4</v>
      </c>
      <c r="Y8" s="15" t="n">
        <v>0</v>
      </c>
      <c r="Z8" s="14" t="n">
        <v>2.4</v>
      </c>
      <c r="AA8" s="14" t="n">
        <v>2.4</v>
      </c>
      <c r="AB8" s="14" t="n">
        <v>2.4</v>
      </c>
      <c r="AC8" s="14" t="n">
        <v>2.4</v>
      </c>
      <c r="AD8" s="14" t="n">
        <v>2.4</v>
      </c>
      <c r="AE8" s="14" t="n">
        <v>2.4</v>
      </c>
      <c r="AF8" s="15" t="n">
        <v>0</v>
      </c>
      <c r="AG8" s="14" t="n">
        <v>2.4</v>
      </c>
    </row>
    <row r="9">
      <c r="A9" s="3" t="inlineStr"/>
      <c r="B9" s="27" t="inlineStr">
        <is>
          <t>実際</t>
        </is>
      </c>
      <c r="C9" s="14" t="n">
        <v>7.8</v>
      </c>
      <c r="D9" s="15" t="n">
        <v>0</v>
      </c>
      <c r="E9" s="14" t="n">
        <v>8.800000000000001</v>
      </c>
      <c r="F9" s="14" t="n">
        <v>6.3</v>
      </c>
      <c r="G9" s="14" t="n">
        <v>7</v>
      </c>
      <c r="H9" s="14" t="n">
        <v>6.8</v>
      </c>
      <c r="I9" s="14" t="n">
        <v>4.3</v>
      </c>
      <c r="J9" s="14" t="n">
        <v>6.8</v>
      </c>
      <c r="K9" s="15" t="n">
        <v>0</v>
      </c>
      <c r="L9" s="14" t="n">
        <v>4.8</v>
      </c>
      <c r="M9" s="14" t="n">
        <v>8.300000000000001</v>
      </c>
      <c r="N9" s="14" t="n">
        <v>5.5</v>
      </c>
      <c r="O9" s="14" t="n">
        <v>6.8</v>
      </c>
      <c r="P9" s="14" t="n">
        <v>7.3</v>
      </c>
      <c r="Q9" s="14" t="n">
        <v>8</v>
      </c>
      <c r="R9" s="15" t="n">
        <v>0</v>
      </c>
      <c r="S9" s="14" t="n">
        <v>6.3</v>
      </c>
      <c r="T9" s="14" t="n">
        <v>7.8</v>
      </c>
      <c r="U9" s="14" t="n">
        <v>4.3</v>
      </c>
      <c r="V9" s="14" t="n">
        <v>5.3</v>
      </c>
      <c r="W9" s="14" t="n">
        <v>7.3</v>
      </c>
      <c r="X9" s="14" t="n">
        <v>5</v>
      </c>
      <c r="Y9" s="15" t="n">
        <v>0</v>
      </c>
      <c r="Z9" s="14" t="n">
        <v>4.8</v>
      </c>
      <c r="AA9" s="14" t="n">
        <v>7.8</v>
      </c>
      <c r="AB9" s="14" t="n">
        <v>7.3</v>
      </c>
      <c r="AC9" s="14" t="n">
        <v>5.8</v>
      </c>
      <c r="AD9" s="14" t="n">
        <v>5.8</v>
      </c>
      <c r="AE9" s="14" t="n">
        <v>8.5</v>
      </c>
      <c r="AF9" s="15" t="n">
        <v>0</v>
      </c>
      <c r="AG9" s="14" t="n">
        <v>10</v>
      </c>
    </row>
    <row r="10">
      <c r="A10" s="19" t="inlineStr">
        <is>
          <t>機能訓練指導員</t>
        </is>
      </c>
      <c r="B10" s="27" t="inlineStr">
        <is>
          <t>必要</t>
        </is>
      </c>
      <c r="C10" s="14" t="n">
        <v>1</v>
      </c>
      <c r="D10" s="15" t="n">
        <v>0</v>
      </c>
      <c r="E10" s="14" t="n">
        <v>1</v>
      </c>
      <c r="F10" s="14" t="n">
        <v>1</v>
      </c>
      <c r="G10" s="14" t="n">
        <v>1</v>
      </c>
      <c r="H10" s="14" t="n">
        <v>1</v>
      </c>
      <c r="I10" s="14" t="n">
        <v>1</v>
      </c>
      <c r="J10" s="14" t="n">
        <v>1</v>
      </c>
      <c r="K10" s="15" t="n">
        <v>0</v>
      </c>
      <c r="L10" s="14" t="n">
        <v>1</v>
      </c>
      <c r="M10" s="14" t="n">
        <v>1</v>
      </c>
      <c r="N10" s="14" t="n">
        <v>1</v>
      </c>
      <c r="O10" s="14" t="n">
        <v>1</v>
      </c>
      <c r="P10" s="14" t="n">
        <v>1</v>
      </c>
      <c r="Q10" s="14" t="n">
        <v>1</v>
      </c>
      <c r="R10" s="15" t="n">
        <v>0</v>
      </c>
      <c r="S10" s="14" t="n">
        <v>1</v>
      </c>
      <c r="T10" s="14" t="n">
        <v>1</v>
      </c>
      <c r="U10" s="14" t="n">
        <v>1</v>
      </c>
      <c r="V10" s="14" t="n">
        <v>1</v>
      </c>
      <c r="W10" s="14" t="n">
        <v>1</v>
      </c>
      <c r="X10" s="14" t="n">
        <v>1</v>
      </c>
      <c r="Y10" s="15" t="n">
        <v>0</v>
      </c>
      <c r="Z10" s="14" t="n">
        <v>1</v>
      </c>
      <c r="AA10" s="14" t="n">
        <v>1</v>
      </c>
      <c r="AB10" s="14" t="n">
        <v>1</v>
      </c>
      <c r="AC10" s="14" t="n">
        <v>1</v>
      </c>
      <c r="AD10" s="14" t="n">
        <v>1</v>
      </c>
      <c r="AE10" s="14" t="n">
        <v>1</v>
      </c>
      <c r="AF10" s="15" t="n">
        <v>0</v>
      </c>
      <c r="AG10" s="14" t="n">
        <v>1</v>
      </c>
    </row>
    <row r="11">
      <c r="A11" s="3" t="inlineStr"/>
      <c r="B11" s="27" t="inlineStr">
        <is>
          <t>実際</t>
        </is>
      </c>
      <c r="C11" s="14" t="n">
        <v>1.2</v>
      </c>
      <c r="D11" s="15" t="n">
        <v>0</v>
      </c>
      <c r="E11" s="14" t="n">
        <v>1.2</v>
      </c>
      <c r="F11" s="28" t="n">
        <v>0.7</v>
      </c>
      <c r="G11" s="14" t="n">
        <v>1</v>
      </c>
      <c r="H11" s="14" t="n">
        <v>1.2</v>
      </c>
      <c r="I11" s="14" t="n">
        <v>1.2</v>
      </c>
      <c r="J11" s="14" t="n">
        <v>1.2</v>
      </c>
      <c r="K11" s="15" t="n">
        <v>0</v>
      </c>
      <c r="L11" s="14" t="n">
        <v>1.2</v>
      </c>
      <c r="M11" s="14" t="n">
        <v>1.2</v>
      </c>
      <c r="N11" s="14" t="n">
        <v>1</v>
      </c>
      <c r="O11" s="28" t="n">
        <v>0.7</v>
      </c>
      <c r="P11" s="14" t="n">
        <v>1.2</v>
      </c>
      <c r="Q11" s="14" t="n">
        <v>1</v>
      </c>
      <c r="R11" s="15" t="n">
        <v>0</v>
      </c>
      <c r="S11" s="14" t="n">
        <v>1.2</v>
      </c>
      <c r="T11" s="14" t="n">
        <v>1.2</v>
      </c>
      <c r="U11" s="14" t="n">
        <v>1.2</v>
      </c>
      <c r="V11" s="14" t="n">
        <v>1.2</v>
      </c>
      <c r="W11" s="28" t="n">
        <v>0.7</v>
      </c>
      <c r="X11" s="14" t="n">
        <v>1</v>
      </c>
      <c r="Y11" s="15" t="n">
        <v>0</v>
      </c>
      <c r="Z11" s="14" t="n">
        <v>1.2</v>
      </c>
      <c r="AA11" s="14" t="n">
        <v>1.2</v>
      </c>
      <c r="AB11" s="28" t="n">
        <v>0.7</v>
      </c>
      <c r="AC11" s="14" t="n">
        <v>1.2</v>
      </c>
      <c r="AD11" s="14" t="n">
        <v>1.2</v>
      </c>
      <c r="AE11" s="14" t="n">
        <v>1</v>
      </c>
      <c r="AF11" s="15" t="n">
        <v>0</v>
      </c>
      <c r="AG11" s="14" t="n">
        <v>1</v>
      </c>
    </row>
    <row r="13">
      <c r="A13" s="4" t="inlineStr">
        <is>
          <t>判定</t>
        </is>
      </c>
      <c r="B13" s="29" t="inlineStr"/>
      <c r="C13" s="21" t="inlineStr">
        <is>
          <t>○</t>
        </is>
      </c>
      <c r="D13" s="7" t="inlineStr">
        <is>
          <t>—</t>
        </is>
      </c>
      <c r="E13" s="21" t="inlineStr">
        <is>
          <t>○</t>
        </is>
      </c>
      <c r="F13" s="20" t="inlineStr">
        <is>
          <t>×</t>
        </is>
      </c>
      <c r="G13" s="21" t="inlineStr">
        <is>
          <t>○</t>
        </is>
      </c>
      <c r="H13" s="21" t="inlineStr">
        <is>
          <t>○</t>
        </is>
      </c>
      <c r="I13" s="21" t="inlineStr">
        <is>
          <t>○</t>
        </is>
      </c>
      <c r="J13" s="21" t="inlineStr">
        <is>
          <t>○</t>
        </is>
      </c>
      <c r="K13" s="7" t="inlineStr">
        <is>
          <t>—</t>
        </is>
      </c>
      <c r="L13" s="20" t="inlineStr">
        <is>
          <t>×</t>
        </is>
      </c>
      <c r="M13" s="21" t="inlineStr">
        <is>
          <t>○</t>
        </is>
      </c>
      <c r="N13" s="21" t="inlineStr">
        <is>
          <t>○</t>
        </is>
      </c>
      <c r="O13" s="20" t="inlineStr">
        <is>
          <t>×</t>
        </is>
      </c>
      <c r="P13" s="21" t="inlineStr">
        <is>
          <t>○</t>
        </is>
      </c>
      <c r="Q13" s="21" t="inlineStr">
        <is>
          <t>○</t>
        </is>
      </c>
      <c r="R13" s="7" t="inlineStr">
        <is>
          <t>—</t>
        </is>
      </c>
      <c r="S13" s="21" t="inlineStr">
        <is>
          <t>○</t>
        </is>
      </c>
      <c r="T13" s="21" t="inlineStr">
        <is>
          <t>○</t>
        </is>
      </c>
      <c r="U13" s="21" t="inlineStr">
        <is>
          <t>○</t>
        </is>
      </c>
      <c r="V13" s="20" t="inlineStr">
        <is>
          <t>×</t>
        </is>
      </c>
      <c r="W13" s="20" t="inlineStr">
        <is>
          <t>×</t>
        </is>
      </c>
      <c r="X13" s="21" t="inlineStr">
        <is>
          <t>○</t>
        </is>
      </c>
      <c r="Y13" s="7" t="inlineStr">
        <is>
          <t>—</t>
        </is>
      </c>
      <c r="Z13" s="21" t="inlineStr">
        <is>
          <t>○</t>
        </is>
      </c>
      <c r="AA13" s="21" t="inlineStr">
        <is>
          <t>○</t>
        </is>
      </c>
      <c r="AB13" s="20" t="inlineStr">
        <is>
          <t>×</t>
        </is>
      </c>
      <c r="AC13" s="21" t="inlineStr">
        <is>
          <t>○</t>
        </is>
      </c>
      <c r="AD13" s="21" t="inlineStr">
        <is>
          <t>○</t>
        </is>
      </c>
      <c r="AE13" s="21" t="inlineStr">
        <is>
          <t>○</t>
        </is>
      </c>
      <c r="AF13" s="7" t="inlineStr">
        <is>
          <t>—</t>
        </is>
      </c>
      <c r="AG13" s="21" t="inlineStr">
        <is>
          <t>○</t>
        </is>
      </c>
    </row>
    <row r="15">
      <c r="A15" s="30" t="inlineStr">
        <is>
          <t>検出された基準違反：8 件　／　×の日は人員基準欠如減算（基本報酬の30％減算）の対象になり得る。</t>
        </is>
      </c>
    </row>
  </sheetData>
  <mergeCells count="1">
    <mergeCell ref="A15:L15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3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31" t="inlineStr">
        <is>
          <t>常勤換算の算定方法</t>
        </is>
      </c>
    </row>
    <row r="3">
      <c r="A3" s="32" t="inlineStr"/>
    </row>
    <row r="4">
      <c r="A4" s="32" t="inlineStr">
        <is>
          <t>常勤換算後の人数 ＝ 当該職種の勤務延時間数 ÷ 常勤の従業者が勤務すべき時間数</t>
        </is>
      </c>
    </row>
    <row r="5">
      <c r="A5" s="32" t="inlineStr">
        <is>
          <t xml:space="preserve">　　　　　　　　　＝ 勤務延時間数 ÷ 160.0 時間（暦月）</t>
        </is>
      </c>
    </row>
    <row r="6">
      <c r="A6" s="32" t="inlineStr">
        <is>
          <t xml:space="preserve">　　　　　　　　　　小数点以下第2位を切り捨てる</t>
        </is>
      </c>
    </row>
    <row r="7">
      <c r="A7" s="32" t="inlineStr"/>
    </row>
    <row r="8">
      <c r="A8" s="31" t="inlineStr">
        <is>
          <t>人員配置基準（通所介護）</t>
        </is>
      </c>
    </row>
    <row r="9">
      <c r="A9" s="32" t="inlineStr"/>
    </row>
    <row r="10">
      <c r="A10" s="32" t="inlineStr">
        <is>
          <t xml:space="preserve">　介護職員　　　　： 利用者15人までは常勤換算1以上。</t>
        </is>
      </c>
    </row>
    <row r="11">
      <c r="A11" s="32" t="inlineStr">
        <is>
          <t xml:space="preserve">　　　　　　　　　　15人を超える場合は、15を超える部分の数を5で除して得た数に</t>
        </is>
      </c>
    </row>
    <row r="12">
      <c r="A12" s="32" t="inlineStr">
        <is>
          <t xml:space="preserve">　　　　　　　　　　1を加えた数以上。除して得た数の端数は切り上げない。</t>
        </is>
      </c>
    </row>
    <row r="13">
      <c r="A13" s="32" t="inlineStr">
        <is>
          <t xml:space="preserve">　　　　　　　　　　（利用者22名 → 必要常勤換算 2.4）</t>
        </is>
      </c>
    </row>
    <row r="14">
      <c r="A14" s="32" t="inlineStr">
        <is>
          <t xml:space="preserve">　看護職員　　　　： サービス提供日ごとに専従1以上。</t>
        </is>
      </c>
    </row>
    <row r="15">
      <c r="A15" s="32" t="inlineStr">
        <is>
          <t xml:space="preserve">　生活相談員　　　： サービス提供時間帯に応じ専従1以上。</t>
        </is>
      </c>
    </row>
    <row r="16">
      <c r="A16" s="32" t="inlineStr">
        <is>
          <t xml:space="preserve">　機能訓練指導員　： 専従1以上。</t>
        </is>
      </c>
    </row>
    <row r="17">
      <c r="A17" s="32" t="inlineStr"/>
    </row>
    <row r="18">
      <c r="A18" s="31" t="inlineStr">
        <is>
          <t>常勤・非常勤の区分</t>
        </is>
      </c>
    </row>
    <row r="19">
      <c r="A19" s="32" t="inlineStr"/>
    </row>
    <row r="20">
      <c r="A20" s="32" t="inlineStr">
        <is>
          <t xml:space="preserve">　常勤　： 事業所が定める常勤職員の勤務すべき時間数（週40.0時間）に達している者。</t>
        </is>
      </c>
    </row>
    <row r="21">
      <c r="A21" s="32" t="inlineStr">
        <is>
          <t xml:space="preserve">　　　　　週32時間を下回る場合は32時間を基準とする。</t>
        </is>
      </c>
    </row>
    <row r="22">
      <c r="A22" s="32" t="inlineStr">
        <is>
          <t xml:space="preserve">　非常勤： 上記に達していない者。</t>
        </is>
      </c>
    </row>
    <row r="23">
      <c r="A23" s="32" t="inlineStr"/>
    </row>
    <row r="24">
      <c r="A24" s="31" t="inlineStr">
        <is>
          <t>勤務形態の区分</t>
        </is>
      </c>
    </row>
    <row r="25">
      <c r="A25" s="32" t="inlineStr"/>
    </row>
    <row r="26">
      <c r="A26" s="32" t="inlineStr">
        <is>
          <t xml:space="preserve">　A：常勤で専従　　B：常勤で兼務　　C：常勤以外で専従　　D：常勤以外で兼務</t>
        </is>
      </c>
    </row>
    <row r="27">
      <c r="A27" s="32" t="inlineStr"/>
    </row>
    <row r="28">
      <c r="A28" s="31" t="inlineStr">
        <is>
          <t>留意事項</t>
        </is>
      </c>
    </row>
    <row r="29">
      <c r="A29" s="32" t="inlineStr"/>
    </row>
    <row r="30">
      <c r="A30" s="32" t="inlineStr">
        <is>
          <t xml:space="preserve">　・管理者は常勤換算の対象外である。</t>
        </is>
      </c>
    </row>
    <row r="31">
      <c r="A31" s="32" t="inlineStr">
        <is>
          <t xml:space="preserve">　・兼務者は職種ごとに行を分け、勤務時間を従事割合で按分する。</t>
        </is>
      </c>
    </row>
    <row r="32">
      <c r="A32" s="32" t="inlineStr">
        <is>
          <t xml:space="preserve">　・常勤職員の有給休暇、勤務命令による研修参加、病欠は勤務時間に含めてよい。</t>
        </is>
      </c>
    </row>
    <row r="33">
      <c r="A33" s="32" t="inlineStr">
        <is>
          <t xml:space="preserve">　　ただし欠勤が暦月で1か月分を超える場合は常勤換算に含めない。</t>
        </is>
      </c>
    </row>
    <row r="34">
      <c r="A34" s="32" t="inlineStr"/>
    </row>
    <row r="35">
      <c r="A35" s="32" t="inlineStr">
        <is>
          <t>このシートは CareShift Guard が自動生成した。</t>
        </is>
      </c>
    </row>
    <row r="36">
      <c r="A36" s="32" t="inlineStr">
        <is>
          <t>シフト表の求解ステータス：FEASIBLE／求解時間 10.03 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2026-07-25T18:32:30Z</dcterms:created>
  <dcterms:modified xmlns:dcterms="http://purl.org/dc/terms/" xmlns:xsi="http://www.w3.org/2001/XMLSchema-instance" xsi:type="dcterms:W3CDTF">2026-07-25T18:32:31Z</dcterms:modified>
</cp:coreProperties>
</file>